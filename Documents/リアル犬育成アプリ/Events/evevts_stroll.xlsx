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hashi\Documents\リアル犬育成アプリ\Events\"/>
    </mc:Choice>
  </mc:AlternateContent>
  <xr:revisionPtr revIDLastSave="0" documentId="13_ncr:1_{DE782D4F-A1C2-4450-9AB0-327703EB7CAE}" xr6:coauthVersionLast="47" xr6:coauthVersionMax="47" xr10:uidLastSave="{00000000-0000-0000-0000-000000000000}"/>
  <bookViews>
    <workbookView xWindow="-108" yWindow="-108" windowWidth="23256" windowHeight="12456" xr2:uid="{00000000-000D-0000-FFFF-FFFF00000000}"/>
  </bookViews>
  <sheets>
    <sheet name="events" sheetId="2" r:id="rId1"/>
    <sheet name="status" sheetId="1" r:id="rId2"/>
  </sheets>
  <definedNames>
    <definedName name="_xlnm._FilterDatabase" localSheetId="0" hidden="1">events!$A$1:$K$155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6" i="2" l="1"/>
  <c r="H71" i="2"/>
  <c r="H101" i="2"/>
  <c r="H115" i="2"/>
  <c r="H116" i="2"/>
  <c r="H117" i="2"/>
  <c r="H155"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7" i="2"/>
  <c r="H48" i="2"/>
  <c r="H49" i="2"/>
  <c r="H50" i="2"/>
  <c r="H51" i="2"/>
  <c r="H52" i="2"/>
  <c r="H53" i="2"/>
  <c r="H54" i="2"/>
  <c r="H55" i="2"/>
  <c r="H56" i="2"/>
  <c r="H57" i="2"/>
  <c r="H58" i="2"/>
  <c r="H59" i="2"/>
  <c r="H60" i="2"/>
  <c r="H61" i="2"/>
  <c r="H62" i="2"/>
  <c r="H63" i="2"/>
  <c r="H64" i="2"/>
  <c r="H65" i="2"/>
  <c r="H66" i="2"/>
  <c r="H67" i="2"/>
  <c r="H68" i="2"/>
  <c r="H69" i="2"/>
  <c r="H70"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2" i="2"/>
  <c r="H103" i="2"/>
  <c r="H104" i="2"/>
  <c r="H105" i="2"/>
  <c r="H106" i="2"/>
  <c r="H107" i="2"/>
  <c r="H108" i="2"/>
  <c r="H109" i="2"/>
  <c r="H110" i="2"/>
  <c r="H111" i="2"/>
  <c r="H112" i="2"/>
  <c r="H113" i="2"/>
  <c r="H114"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2" i="2"/>
</calcChain>
</file>

<file path=xl/sharedStrings.xml><?xml version="1.0" encoding="utf-8"?>
<sst xmlns="http://schemas.openxmlformats.org/spreadsheetml/2006/main" count="518" uniqueCount="516">
  <si>
    <t>ステータス名</t>
  </si>
  <si>
    <t>空腹</t>
  </si>
  <si>
    <t>汚れ</t>
  </si>
  <si>
    <t>排泄</t>
  </si>
  <si>
    <t>興奮</t>
  </si>
  <si>
    <t>幸福感</t>
  </si>
  <si>
    <t>眠気</t>
  </si>
  <si>
    <t>睡眠の必要性。最大になるとその場で寝てしまい、パフォーマンスが低下するため、適切な休息が必要です。</t>
  </si>
  <si>
    <t>疲労</t>
  </si>
  <si>
    <t>肉体的な疲れの蓄積。スタミナとは別に、蓄積されると怪我や病気の原因となる長期的なリスク指標です。</t>
  </si>
  <si>
    <t>活力</t>
  </si>
  <si>
    <t>規律</t>
  </si>
  <si>
    <t>しつけの定着度。高いほど、コンテストでの複雑な指示に対して正確かつ迅速に反応できるようになります。</t>
  </si>
  <si>
    <t>速度</t>
  </si>
  <si>
    <t>移動スピード。レース形式の競技や時間制限のある課題における最重要能力です。</t>
  </si>
  <si>
    <t>スタミナ</t>
  </si>
  <si>
    <t>バネ</t>
  </si>
  <si>
    <t>跳躍力と瞬発力。アジリティ競技やフリスビーなど、高さや速さを要する動きに影響します。</t>
  </si>
  <si>
    <t>集中力</t>
  </si>
  <si>
    <t>精神的な安定性。会場の騒音に惑わされず、持てる実力を100%発揮するための能力です。</t>
  </si>
  <si>
    <t>毛並み</t>
  </si>
  <si>
    <t>被毛の美しさ。ブラッシングや栄養状態で変動し、審査員からの見た目の評価に直結します。</t>
  </si>
  <si>
    <t>愛嬌</t>
  </si>
  <si>
    <t>親しみやすさ。審査員へのアピール力に関わり、実力が拮抗した際の加点要素（魅力）として機能します。</t>
  </si>
  <si>
    <t>スタイル</t>
  </si>
  <si>
    <t>体格の良さ。運動と食事のバランスを示し、理想的な体型に近いほど高く評価されます。</t>
  </si>
  <si>
    <t>幸運</t>
  </si>
  <si>
    <t>持久力。日々の活動で必要であるほか、競技中のパフォーマンスを維持できる時間に直結し、長丁場のコンテストで真価を発揮します。</t>
    <rPh sb="4" eb="6">
      <t>ヒビ</t>
    </rPh>
    <rPh sb="7" eb="9">
      <t>カツドウ</t>
    </rPh>
    <rPh sb="10" eb="12">
      <t>ヒツヨウ</t>
    </rPh>
    <phoneticPr fontId="3"/>
  </si>
  <si>
    <r>
      <rPr>
        <sz val="10"/>
        <color rgb="FF1F1F1F"/>
        <rFont val="ＭＳ ゴシック"/>
        <family val="3"/>
        <charset val="128"/>
      </rPr>
      <t>お腹の減り具合。</t>
    </r>
    <r>
      <rPr>
        <sz val="10"/>
        <color rgb="FF1F1F1F"/>
        <rFont val="Arial"/>
        <family val="2"/>
      </rPr>
      <t>100</t>
    </r>
    <r>
      <rPr>
        <sz val="10"/>
        <color rgb="FF1F1F1F"/>
        <rFont val="ＭＳ ゴシック"/>
        <family val="3"/>
        <charset val="128"/>
      </rPr>
      <t>に近づくとストレスが増加します。老犬期には「腹八分目」の管理が寿命を左右します。</t>
    </r>
    <rPh sb="21" eb="23">
      <t>ゾウカ</t>
    </rPh>
    <phoneticPr fontId="3"/>
  </si>
  <si>
    <r>
      <rPr>
        <sz val="10"/>
        <color rgb="FF1F1F1F"/>
        <rFont val="ＭＳ ゴシック"/>
        <family val="3"/>
        <charset val="128"/>
      </rPr>
      <t>トイレの欲求。最大値での失敗は、ストレス上昇、衛生状態の悪化やしつけの低下、子犬期の社会化経験値（</t>
    </r>
    <r>
      <rPr>
        <sz val="10"/>
        <color rgb="FF1F1F1F"/>
        <rFont val="Arial"/>
        <family val="2"/>
      </rPr>
      <t>SE</t>
    </r>
    <r>
      <rPr>
        <sz val="10"/>
        <color rgb="FF1F1F1F"/>
        <rFont val="ＭＳ ゴシック"/>
        <family val="3"/>
        <charset val="128"/>
      </rPr>
      <t>）の大幅な減少を招きます。</t>
    </r>
    <rPh sb="20" eb="22">
      <t>ジョウショウ</t>
    </rPh>
    <phoneticPr fontId="3"/>
  </si>
  <si>
    <t>感情の高ぶり。適度な興奮は活力を生みますが、過剰になると規律が低下し指示を無視しやすくなります。</t>
    <rPh sb="28" eb="30">
      <t>キリツ</t>
    </rPh>
    <rPh sb="31" eb="33">
      <t>テイカ</t>
    </rPh>
    <phoneticPr fontId="3"/>
  </si>
  <si>
    <t>飼い主との絆や満足度。高い状態を保つとトレーニング効率が向上し、コンテストでの粘り強さや愛着に影響します。</t>
    <rPh sb="44" eb="46">
      <t>アイチャク</t>
    </rPh>
    <phoneticPr fontId="3"/>
  </si>
  <si>
    <r>
      <rPr>
        <sz val="10"/>
        <color rgb="FF1F1F1F"/>
        <rFont val="ＭＳ ゴシック"/>
        <family val="3"/>
        <charset val="128"/>
      </rPr>
      <t>その日のやる気。高いと全ステータスに微増のバフがかかり、散歩でのポジティブなイベント遭遇率が上がります。</t>
    </r>
    <r>
      <rPr>
        <sz val="10"/>
        <color rgb="FF1F1F1F"/>
        <rFont val="Google Sans Text"/>
        <family val="2"/>
      </rPr>
      <t>低いと問題行動が発生</t>
    </r>
    <rPh sb="52" eb="53">
      <t>ヒク</t>
    </rPh>
    <rPh sb="55" eb="59">
      <t>モンダイコウドウ</t>
    </rPh>
    <rPh sb="60" eb="62">
      <t>ハッセイ</t>
    </rPh>
    <phoneticPr fontId="3"/>
  </si>
  <si>
    <t>知性</t>
    <rPh sb="0" eb="2">
      <t>チセイ</t>
    </rPh>
    <phoneticPr fontId="3"/>
  </si>
  <si>
    <t>宝探しの判定、コンテスト判定のランダム補正が向上</t>
    <rPh sb="0" eb="2">
      <t>タカラサガ</t>
    </rPh>
    <rPh sb="4" eb="6">
      <t>ハンテイ</t>
    </rPh>
    <rPh sb="12" eb="14">
      <t>ハンテイ</t>
    </rPh>
    <rPh sb="19" eb="21">
      <t>ホセイ</t>
    </rPh>
    <rPh sb="22" eb="24">
      <t>コウジョウ</t>
    </rPh>
    <phoneticPr fontId="3"/>
  </si>
  <si>
    <t>ノーズワークでの正解率をUP、スキル獲得数のUP、練習効果のUP可能性</t>
    <rPh sb="8" eb="10">
      <t>セイカイ</t>
    </rPh>
    <rPh sb="10" eb="11">
      <t>リツ</t>
    </rPh>
    <rPh sb="18" eb="21">
      <t>カクトクスウ</t>
    </rPh>
    <rPh sb="25" eb="29">
      <t>レンシュウコウカ</t>
    </rPh>
    <rPh sb="32" eb="35">
      <t>カノウセイ</t>
    </rPh>
    <phoneticPr fontId="3"/>
  </si>
  <si>
    <t>No.</t>
    <phoneticPr fontId="3"/>
  </si>
  <si>
    <t>説明</t>
    <phoneticPr fontId="3"/>
  </si>
  <si>
    <t>最大値</t>
    <rPh sb="0" eb="3">
      <t>サイダイチ</t>
    </rPh>
    <phoneticPr fontId="3"/>
  </si>
  <si>
    <t>体の清潔さ。散歩や遊びで汚れが100まで近づき、放置するとストレスや愛着への悪影響を及ぼします。</t>
    <rPh sb="12" eb="13">
      <t>ヨゴ</t>
    </rPh>
    <rPh sb="20" eb="21">
      <t>チカ</t>
    </rPh>
    <rPh sb="34" eb="36">
      <t>アイチャク</t>
    </rPh>
    <phoneticPr fontId="3"/>
  </si>
  <si>
    <t>イベント文（子犬期）</t>
    <rPh sb="4" eb="5">
      <t>ブン</t>
    </rPh>
    <rPh sb="6" eb="8">
      <t>コイヌ</t>
    </rPh>
    <rPh sb="8" eb="9">
      <t>キ</t>
    </rPh>
    <phoneticPr fontId="3"/>
  </si>
  <si>
    <t>イベント文（成犬期）</t>
    <rPh sb="4" eb="5">
      <t>ブン</t>
    </rPh>
    <rPh sb="6" eb="8">
      <t>セイケン</t>
    </rPh>
    <rPh sb="8" eb="9">
      <t>キ</t>
    </rPh>
    <phoneticPr fontId="3"/>
  </si>
  <si>
    <t>イベント文（老犬期）</t>
    <rPh sb="4" eb="5">
      <t>ブン</t>
    </rPh>
    <rPh sb="6" eb="8">
      <t>ロウケン</t>
    </rPh>
    <rPh sb="8" eb="9">
      <t>キ</t>
    </rPh>
    <phoneticPr fontId="3"/>
  </si>
  <si>
    <t>status_1</t>
    <phoneticPr fontId="3"/>
  </si>
  <si>
    <t>status_2</t>
    <phoneticPr fontId="3"/>
  </si>
  <si>
    <t>散歩目的地</t>
    <rPh sb="0" eb="2">
      <t>サンポ</t>
    </rPh>
    <rPh sb="2" eb="5">
      <t>モクテキチ</t>
    </rPh>
    <phoneticPr fontId="3"/>
  </si>
  <si>
    <t>散歩目的地</t>
    <rPh sb="0" eb="5">
      <t>サンポモクテキチ</t>
    </rPh>
    <phoneticPr fontId="3"/>
  </si>
  <si>
    <t>市街地</t>
    <rPh sb="0" eb="3">
      <t>シガイチ</t>
    </rPh>
    <phoneticPr fontId="3"/>
  </si>
  <si>
    <t>公園</t>
    <rPh sb="0" eb="2">
      <t>コウエン</t>
    </rPh>
    <phoneticPr fontId="3"/>
  </si>
  <si>
    <t>海辺</t>
    <rPh sb="0" eb="2">
      <t>ウミベ</t>
    </rPh>
    <phoneticPr fontId="3"/>
  </si>
  <si>
    <t>山道</t>
    <rPh sb="0" eb="2">
      <t>ヤマミチ</t>
    </rPh>
    <phoneticPr fontId="3"/>
  </si>
  <si>
    <t>No</t>
    <phoneticPr fontId="3"/>
  </si>
  <si>
    <t>status1_change</t>
    <phoneticPr fontId="3"/>
  </si>
  <si>
    <t>status2_change</t>
    <phoneticPr fontId="3"/>
  </si>
  <si>
    <t>信号待ちのジョギング中の女性に対しても、●●は堂々と振る舞っている。茂みの奥深くに入り込み、じっと一点を見つめて動かなくなった。動くものすべてに反応して、尻尾をちぎれんばかりに振っている。あなたは誇らしい気持ちでリードを握った。日頃の鍛錬の成果が、一歩一歩の力強い足取りに現れてい</t>
  </si>
  <si>
    <t>ベンチで新聞を読むおじいさんを見つけると、●●は夢中で駆け寄った。茂みの奥深くに入り込み、じっと一点を見つめて動かなくなった。横断歩道の前で、指示される前にぴたっとお座りをして待機した。風が心地よく、耳元を通り抜けていった。好奇心に満ちた瞳を輝かせ、あなたのあとを一生懸命に追いか</t>
  </si>
  <si>
    <t>散歩仲間のゴールデンレトリバーに対しても、●●は堂々と振る舞っている。大きな音に驚いて、鼻を鳴らしながらあなたの周りを飛び跳ねた。誰にでも尻尾を振って近づき、すぐにその場の人気者になった。これからのコンテストに向けた自信に繋がる。日頃の鍛錬の成果が、一歩一歩の力強い足取りに現れて</t>
  </si>
  <si>
    <t>散歩仲間のゴールデンレトリバーに対しても、●●は堂々と振る舞っている。段差の前で立ち止まり、少しだけ休憩したそうな目で見つめてきた。複雑な分かれ道でも、以前通ったルートを正確に思い出して進んだ。道行く人が思わず笑顔をこぼしている。日頃の鍛錬の成果が、一歩一歩の力強い足取りに現れて</t>
  </si>
  <si>
    <t>信号待ちのジョギング中の女性に対しても、●●は堂々と振る舞っている。全身からエネルギーが溢れ、どんな障害物も軽々と乗り越えていく。風を切るような足取りで、あっという間に目的の角まで辿り着いた。静かな時間が、二人の間に流れていく。日頃の鍛錬の成果が、一歩一歩の力強い足取りに現れてい</t>
  </si>
  <si>
    <t>信号待ちのジョギング中の女性に対しても、●●は堂々と振る舞っている。何キロも歩いた後でも、力強い足取りであなたをリードしている。複雑な分かれ道でも、以前通ったルートを正確に思い出して進んだ。これからのコンテストに向けた自信に繋がる。日頃の鍛錬の成果が、一歩一歩の力強い足取りに現れ</t>
  </si>
  <si>
    <t>散歩仲間のゴールデンレトリバーに対しても、●●は堂々と振る舞っている。獲物を狙うように一点を見つめ、微動だにせず状況を観察している。仕掛けのある看板の仕組みを理解したようで、賢い振る舞いを見せた。足元のアスファルトが、少しだけ温かい。日頃の鍛錬の成果が、一歩一歩の力強い足取りに現</t>
  </si>
  <si>
    <t>鳩の群れに対しても、●●は堂々と振る舞っている。足元に落ちている木の実を、食べ物だと思って口に入れようとした。足元に落ちている木の実を、食べ物だと思って口に入れようとした。周囲の空気までもが華やぐようだ。</t>
  </si>
  <si>
    <t>散歩仲間のゴールデンレトリバーに対しても、●●は堂々と振る舞っている。水たまりにダイブして、お腹まで泥だらけになってしまった。工事現場の砂埃を浴びて、全身が白っぽくなってしまった。道行く人が思わず笑顔をこぼしている。</t>
  </si>
  <si>
    <t>登校中の小学生たちに対しても、●●は堂々と振る舞っている。茂みの奥深くに入り込み、じっと一点を見つめて動かなくなった。電柱の匂いを熱心に嗅いで、そわそわと周囲を回り始めた。あなたは誇らしい気持ちでリードを握った。</t>
  </si>
  <si>
    <t>木陰から顔を出すリスに対しても、●●は堂々と振る舞っている。撫でられて満足そうに目を細め、幸せそうな吐息をついた。あなたの顔を何度も見上げ、足取り軽く並んで歩いている。静かな時間が、二人の間に流れていく。</t>
  </si>
  <si>
    <t>店先の招き猫に対しても、●●は堂々と振る舞っている。歩きながら大きなあくびをして、今にもその場で寝落ちしそうだ。ベンチの横で座り込み、まどろみながらあなたの指示を待っている。賑やかな話し声が、遠くで聞こえている。</t>
  </si>
  <si>
    <t>木の上から見下ろすカラスに対しても、●●は堂々と振る舞っている。全身からエネルギーが溢れ、どんな障害物も軽々と乗り越えていく。道行く人を次々と誘うように、活発に動き回っている。風が心地よく、耳元を通り抜けていった。</t>
  </si>
  <si>
    <t>流木に対しても、●●は堂々と振る舞っている。横断歩道の前で、指示される前にぴたっとお座りをして待機した。誘惑の多い場所でも、あなたの歩幅に合わせて静かに歩き続けた。周囲の空気までもが華やぐようだ。</t>
  </si>
  <si>
    <t>道端の野イチゴに対しても、●●は堂々と振る舞っている。風を切るような足取りで、あっという間に目的の角まで辿り着いた。風を切るような足取りで、あっという間に目的の角まで辿り着いた。道行く人が思わず笑顔をこぼしている。</t>
  </si>
  <si>
    <t>空を旋回するカモメに対しても、●●は堂々と振る舞っている。長い階段を上りきっても、呼吸を乱すことなく余裕の表情だ。長い階段を上りきっても、呼吸を乱すことなく余裕の表情だ。あなたは誇らしい気持ちでリードを握った。</t>
  </si>
  <si>
    <t>茂みの中で動くトカゲに対しても、●●は堂々と振る舞っている。足元の溝を驚異的な跳躍で飛び越え、着地も見事に決めた。高い縁石にひらりと飛び乗り、抜群の身体能力を見せつけた。これからのコンテストに向けた自信に繋がる。</t>
  </si>
  <si>
    <t>流木に対しても、●●は堂々と振る舞っている。周囲の喧騒を一切無視し、あなたの合図だけに全神経を注いでいる。周囲の喧騒を一切無視し、あなたの合図だけに全神経を注いでいる。静かな時間が、二人の間に流れていく。</t>
  </si>
  <si>
    <t>道端の野イチゴに対しても、●●は堂々と振る舞っている。通行人の足元に顔を寄せ、愛くるしい仕草で撫でてとせがんだ。誰にでも尻尾を振って近づき、すぐにその場の人気者になった。足元のアスファルトが、少しだけ温かい。</t>
  </si>
  <si>
    <t>茂みの中で動くトカゲに対しても、●●は堂々と振る舞っている。背筋をピンと伸ばした姿勢で、まるでモデルのような風格で歩く。背筋をピンと伸ばした姿勢で、まるでモデルのような風格で歩く。風が心地よく、耳元を通り抜けていった。</t>
  </si>
  <si>
    <t>店先の招き猫に対しても、●●は堂々と振る舞っている。偶然出会ったプロのトレーナーに、特別なコツを教えてもらった。茂みの奥から、誰かが落とした珍しいおもちゃを見つけ出した。道行く人が思わず笑顔をこぼしている。</t>
  </si>
  <si>
    <t>登校中の小学生たちに対しても、●●は堂々と振る舞っている。水たまりにダイブして、お腹まで泥だらけになってしまった。茂みの奥深くに入り込み、じっと一点を見つめて動かなくなった。あなたは誇らしい気持ちでリードを握った。</t>
  </si>
  <si>
    <t>登校中の小学生たちに対しても、●●は堂々と振る舞っている。工事現場の砂埃を浴びて、全身が白っぽくなってしまった。撫でられて満足そうに目を細め、幸せそうな吐息をついた。静かな時間が、二人の間に流れていく。</t>
  </si>
  <si>
    <t>休憩中の登山グループに対しても、●●は堂々と振る舞っている。工事現場の砂埃を浴びて、全身が白っぽくなってしまった。段差の前で立ち止まり、少しだけ休憩したそうな目で見つめてきた。足元のアスファルトが、少しだけ温かい。</t>
  </si>
  <si>
    <t>茂みの中で動くトカゲに対しても、●●は堂々と振る舞っている。工事現場の砂埃を浴びて、全身が白っぽくなってしまった。全身からエネルギーが溢れ、どんな障害物も軽々と乗り越えていく。風が心地よく、耳元を通り抜けていった。</t>
  </si>
  <si>
    <t>散歩中のチワワに対しても、●●は堂々と振る舞っている。工事現場の砂埃を浴びて、全身が白っぽくなってしまった。横断歩道の前で、指示される前にぴたっとお座りをして待機した。周囲の空気までもが華やぐようだ。</t>
  </si>
  <si>
    <t>木の上から見下ろすカラスに対しても、●●は堂々と振る舞っている。工事現場の砂埃を浴びて、全身が白っぽくなってしまった。一瞬の隙も見せず、素早い身のこなしで周囲を驚かせた。道行く人が思わず笑顔をこぼしている。</t>
  </si>
  <si>
    <t>砂浜で穴を掘る小さなカニに対しても、●●は堂々と振る舞っている。工事現場の砂埃を浴びて、全身が白っぽくなってしまった。長い階段を上りきっても、呼吸を乱すことなく余裕の表情だ。あなたは誇らしい気持ちでリードを握った。</t>
  </si>
  <si>
    <t>釣りをしているお兄さんに対しても、●●は堂々と振る舞っている。工事現場の砂埃を浴びて、全身が白っぽくなってしまった。高い縁石にひらりと飛び乗り、抜群の身体能力を見せつけた。これからのコンテストに向けた自信に繋がる。</t>
  </si>
  <si>
    <t>鳴いているセミに対しても、●●は堂々と振る舞っている。水たまりにダイブして、お腹まで泥だらけになってしまった。獲物を狙うように一点を見つめ、微動だにせず状況を観察している。静かな時間が、二人の間に流れていく。</t>
  </si>
  <si>
    <t>散歩中のチワワに対しても、●●は堂々と振る舞っている。水たまりにダイブして、お腹まで泥だらけになってしまった。ブラッシングしたての被毛が太陽を反射し、通行人が見惚れている。賑やかな話し声が、遠くで聞こえている。</t>
  </si>
  <si>
    <t>散歩中のチワワに対しても、●●は堂々と振る舞っている。水たまりにダイブして、お腹まで泥だらけになってしまった。通行人の足元に顔を寄せ、愛くるしい仕草で撫でてとせがんだ。足元のアスファルトが、少しだけ温かい。</t>
  </si>
  <si>
    <t>散歩中のチワワに対しても、●●は堂々と振る舞っている。水たまりにダイブして、お腹まで泥だらけになってしまった。背筋をピンと伸ばした姿勢で、まるでモデルのような風格で歩く。風が心地よく、耳元を通り抜けていった。</t>
  </si>
  <si>
    <t>噴水で遊ぶ子供たちに対しても、●●は堂々と振る舞っている。水たまりにダイブして、お腹まで泥だらけになってしまった。仕掛けのある看板の仕組みを理解したようで、賢い振る舞いを見せた。周囲の空気までもが華やぐようだ。</t>
  </si>
  <si>
    <t>散歩仲間のゴールデンレトリバーに対しても、●●は堂々と振る舞っている。工事現場の砂埃を浴びて、全身が白っぽくなってしまった。茂みの奥から、誰かが落とした珍しいおもちゃを見つけ出した。道行く人が思わず笑顔をこぼしている。</t>
  </si>
  <si>
    <t>木陰から顔を出すリスに対しても、●●は堂々と振る舞っている。電柱の匂いを熱心に嗅いで、そわそわと周囲を回り始めた。撫でられて満足そうに目を細め、幸せそうな吐息をついた。これからのコンテストに向けた自信に繋がる。</t>
  </si>
  <si>
    <t>釣りをしているお兄さんに対しても、●●は堂々と振る舞っている。茂みの奥深くに入り込み、じっと一点を見つめて動かなくなった。歩きながら大きなあくびをして、今にもその場で寝落ちしそうだ。静かな時間が、二人の間に流れていく。</t>
  </si>
  <si>
    <t>鳩の群れに対しても、●●は堂々と振る舞っている。電柱の匂いを熱心に嗅いで、そわそわと周囲を回り始めた。舌を出し、いつもより歩調を落としてゆっくりと歩いている。賑やかな話し声が、遠くで聞こえている。</t>
  </si>
  <si>
    <t>ベンチで新聞を読むおじいさんに対しても、●●は堂々と振る舞っている。茂みの奥深くに入り込み、じっと一点を見つめて動かなくなった。道行く人を次々と誘うように、活発に動き回っている。足元のアスファルトが、少しだけ温かい。</t>
  </si>
  <si>
    <t>道端の野イチゴに対しても、●●は堂々と振る舞っている。茂みの奥深くに入り込み、じっと一点を見つめて動かなくなった。風を切るような足取りで、あっという間に目的の角まで辿り着いた。周囲の空気までもが華やぐようだ。</t>
  </si>
  <si>
    <t>登校中の小学生たちに対しても、●●は堂々と振る舞っている。電柱の匂いを熱心に嗅いで、そわそわと周囲を回り始めた。何キロも歩いた後でも、力強い足取りであなたをリードしている。道行く人が思わず笑顔をこぼしている。</t>
  </si>
  <si>
    <t>自転車に乗ったおじさんに対しても、●●は堂々と振る舞っている。茂みの奥深くに入り込み、じっと一点を見つめて動かなくなった。高い縁石にひらりと飛び乗り、抜群の身体能力を見せつけた。あなたは誇らしい気持ちでリードを握った。</t>
  </si>
  <si>
    <t>休憩中の登山グループに対しても、●●は堂々と振る舞っている。電柱の匂いを熱心に嗅いで、そわそわと周囲を回り始めた。風に吹かれて毛が美しく流れ、周囲の目を釘付けにした。静かな時間が、二人の間に流れていく。</t>
  </si>
  <si>
    <t>芝生でヨガをするグループに対しても、●●は堂々と振る舞っている。電柱の匂いを熱心に嗅いで、そわそわと周囲を回り始めた。誰にでも尻尾を振って近づき、すぐにその場の人気者になった。賑やかな話し声が、遠くで聞こえている。</t>
  </si>
  <si>
    <t>宅配便のトラックに対しても、●●は堂々と振る舞っている。茂みの奥深くに入り込み、じっと一点を見つめて動かなくなった。仕掛けのある看板の仕組みを理解したようで、賢い振る舞いを見せた。風が心地よく、耳元を通り抜けていった。</t>
  </si>
  <si>
    <t>波打ち際を走るサーファーに対しても、●●は堂々と振る舞っている。茂みの奥深くに入り込み、じっと一点を見つめて動かなくなった。偶然出会ったプロのトレーナーに、特別なコツを教えてもらった。周囲の空気までもが華やぐようだ。</t>
  </si>
  <si>
    <t>休憩中の登山グループに対しても、●●は堂々と振る舞っている。大きな音に驚いて、鼻を鳴らしながらあなたの周りを飛び跳ねた。撫でられて満足そうに目を細め、幸せそうな吐息をついた。道行く人が思わず笑顔をこぼしている。</t>
  </si>
  <si>
    <t>信号待ちのジョギング中の女性に対しても、●●は堂々と振る舞っている。動くものすべてに反応して、尻尾をちぎれんばかりに振っている。道行く人を次々と誘うように、活発に動き回っている。静かな時間が、二人の間に流れていく。</t>
  </si>
  <si>
    <t>散歩中のチワワに対しても、●●は堂々と振る舞っている。大きな音に驚いて、鼻を鳴らしながらあなたの周りを飛び跳ねた。誘惑の多い場所でも、あなたの歩幅に合わせて静かに歩き続けた。賑やかな話し声が、遠くで聞こえている。</t>
  </si>
  <si>
    <t>店先の招き猫に対しても、●●は堂々と振る舞っている。動くものすべてに反応して、尻尾をちぎれんばかりに振っている。何キロも歩いた後でも、力強い足取りであなたをリードしている。風が心地よく、耳元を通り抜けていった。</t>
  </si>
  <si>
    <t>すれ違う本格的なハイカーに対しても、●●は堂々と振る舞っている。動くものすべてに反応して、尻尾をちぎれんばかりに振っている。高い縁石にひらりと飛び乗り、抜群の身体能力を見せつけた。周囲の空気までもが華やぐようだ。</t>
  </si>
  <si>
    <t>鳩の群れに対しても、●●は堂々と振る舞っている。動くものすべてに反応して、尻尾をちぎれんばかりに振っている。周囲の喧騒を一切無視し、あなたの合図だけに全神経を注いでいる。道行く人が思わず笑顔をこぼしている。</t>
  </si>
  <si>
    <t>自転車に乗ったおじさんに対しても、●●は堂々と振る舞っている。大きな音に驚いて、鼻を鳴らしながらあなたの周りを飛び跳ねた。風に吹かれて毛が美しく流れ、周囲の目を釘付けにした。あなたは誇らしい気持ちでリードを握った。</t>
  </si>
  <si>
    <t>店先の招き猫に対しても、●●は堂々と振る舞っている。動くものすべてに反応して、尻尾をちぎれんばかりに振っている。四肢を堂々と踏み出し、完成された美しいシルエットを披露した。静かな時間が、二人の間に流れていく。</t>
  </si>
  <si>
    <t>散歩中のチワワに対しても、●●は堂々と振る舞っている。大きな音に驚いて、鼻を鳴らしながらあなたの周りを飛び跳ねた。仕掛けのある看板の仕組みを理解したようで、賢い振る舞いを見せた。賑やかな話し声が、遠くで聞こえている。</t>
  </si>
  <si>
    <t>道端の野イチゴに対しても、●●は堂々と振る舞っている。撫でられて満足そうに目を細め、幸せそうな吐息をついた。歩きながら大きなあくびをして、今にもその場で寝落ちしそうだ。風が心地よく、耳元を通り抜けていった。</t>
  </si>
  <si>
    <t>砂浜で穴を掘る小さなカニに対しても、●●は堂々と振る舞っている。あなたの顔を何度も見上げ、足取り軽く並んで歩いている。段差の前で立ち止まり、少しだけ休憩したそうな目で見つめてきた。周囲の空気までもが華やぐようだ。</t>
  </si>
  <si>
    <t>店先の招き猫に対しても、●●は堂々と振る舞っている。撫でられて満足そうに目を細め、幸せそうな吐息をついた。道行く人を次々と誘うように、活発に動き回っている。道行く人が思わず笑顔をこぼしている。</t>
  </si>
  <si>
    <t>流木に対しても、●●は堂々と振る舞っている。撫でられて満足そうに目を細め、幸せそうな吐息をついた。一瞬の隙も見せず、素早い身のこなしで周囲を驚かせた。これからのコンテストに向けた自信に繋がる。</t>
  </si>
  <si>
    <t>砂浜で穴を掘る小さなカニに対しても、●●は堂々と振る舞っている。あなたの顔を何度も見上げ、足取り軽く並んで歩いている。長い階段を上りきっても、呼吸を乱すことなく余裕の表情だ。静かな時間が、二人の間に流れていく。</t>
  </si>
  <si>
    <t>釣りをしているお兄さんに対しても、●●は堂々と振る舞っている。撫でられて満足そうに目を細め、幸せそうな吐息をついた。高い縁石にひらりと飛び乗り、抜群の身体能力を見せつけた。賑やかな話し声が、遠くで聞こえている。</t>
  </si>
  <si>
    <t>釣りをしているお兄さんに対しても、●●は堂々と振る舞っている。撫でられて満足そうに目を細め、幸せそうな吐息をついた。周囲の喧騒を一切無視し、あなたの合図だけに全神経を注いでいる。足元のアスファルトが、少しだけ温かい。</t>
  </si>
  <si>
    <t>木陰から顔を出すリスに対しても、●●は堂々と振る舞っている。あなたの顔を何度も見上げ、足取り軽く並んで歩いている。ブラッシングしたての被毛が太陽を反射し、通行人が見惚れている。風が心地よく、耳元を通り抜けていった。</t>
  </si>
  <si>
    <t>休憩中の登山グループに対しても、●●は堂々と振る舞っている。撫でられて満足そうに目を細め、幸せそうな吐息をついた。誰にでも尻尾を振って近づき、すぐにその場の人気者になった。周囲の空気までもが華やぐようだ。</t>
  </si>
  <si>
    <t>すれ違う本格的なハイカーに対しても、●●は堂々と振る舞っている。撫でられて満足そうに目を細め、幸せそうな吐息をついた。四肢を堂々と踏み出し、完成された美しいシルエットを披露した。道行く人が思わず笑顔をこぼしている。</t>
  </si>
  <si>
    <t>休憩中の登山グループに対しても、●●は堂々と振る舞っている。あなたの顔を何度も見上げ、足取り軽く並んで歩いている。仕掛けのある看板の仕組みを理解したようで、賢い振る舞いを見せた。あなたは誇らしい気持ちでリードを握った。</t>
  </si>
  <si>
    <t>店先の招き猫に対しても、●●は堂々と振る舞っている。歩きながら大きなあくびをして、今にもその場で寝落ちしそうだ。道行く人を次々と誘うように、活発に動き回っている。賑やかな話し声が、遠くで聞こえている。</t>
  </si>
  <si>
    <t>散歩中のチワワに対しても、●●は堂々と振る舞っている。歩きながら大きなあくびをして、今にもその場で寝落ちしそうだ。一瞬の隙も見せず、素早い身のこなしで周囲を驚かせた。風が心地よく、耳元を通り抜けていった。</t>
  </si>
  <si>
    <t>店先の招き猫に対しても、●●は堂々と振る舞っている。歩きながら大きなあくびをして、今にもその場で寝落ちしそうだ。長い階段を上りきっても、呼吸を乱すことなく余裕の表情だ。周囲の空気までもが華やぐようだ。</t>
  </si>
  <si>
    <t>芝生でヨガをするグループに対しても、●●は堂々と振る舞っている。ベンチの横で座り込み、まどろみながらあなたの指示を待っている。足元の溝を驚異的な跳躍で飛び越え、着地も見事に決めた。道行く人が思わず笑顔をこぼしている。</t>
  </si>
  <si>
    <t>鳴いているセミに対しても、●●は堂々と振る舞っている。ベンチの横で座り込み、まどろみながらあなたの指示を待っている。周囲の喧騒を一切無視し、あなたの合図だけに全神経を注いでいる。あなたは誇らしい気持ちでリードを握った。</t>
  </si>
  <si>
    <t>登校中の小学生たちに対しても、●●は堂々と振る舞っている。ベンチの横で座り込み、まどろみながらあなたの指示を待っている。風に吹かれて毛が美しく流れ、周囲の目を釘付けにした。これからのコンテストに向けた自信に繋がる。</t>
  </si>
  <si>
    <t>散歩中のチワワに対しても、●●は堂々と振る舞っている。ベンチの横で座り込み、まどろみながらあなたの指示を待っている。四肢を堂々と踏み出し、完成された美しいシルエットを披露した。賑やかな話し声が、遠くで聞こえている。</t>
  </si>
  <si>
    <t>流木に対しても、●●は堂々と振る舞っている。ベンチの横で座り込み、まどろみながらあなたの指示を待っている。茂みの奥から、誰かが落とした珍しいおもちゃを見つけ出した。風が心地よく、耳元を通り抜けていった。</t>
  </si>
  <si>
    <t>道端の野イチゴに対しても、●●は堂々と振る舞っている。段差の前で立ち止まり、少しだけ休憩したそうな目で見つめてきた。全身からエネルギーが溢れ、どんな障害物も軽々と乗り越えていく。周囲の空気までもが華やぐようだ。</t>
  </si>
  <si>
    <t>宅配便のトラックに対しても、●●は堂々と振る舞っている。段差の前で立ち止まり、少しだけ休憩したそうな目で見つめてきた。横断歩道の前で、指示される前にぴたっとお座りをして待機した。道行く人が思わず笑顔をこぼしている。</t>
  </si>
  <si>
    <t>宅配便のトラックに対しても、●●は堂々と振る舞っている。舌を出し、いつもより歩調を落としてゆっくりと歩いている。何キロも歩いた後でも、力強い足取りであなたをリードしている。これからのコンテストに向けた自信に繋がる。</t>
  </si>
  <si>
    <t>空を旋回するカモメに対しても、●●は堂々と振る舞っている。舌を出し、いつもより歩調を落としてゆっくりと歩いている。高い縁石にひらりと飛び乗り、抜群の身体能力を見せつけた。静かな時間が、二人の間に流れていく。</t>
  </si>
  <si>
    <t>噴水で遊ぶ子供たちに対しても、●●は堂々と振る舞っている。舌を出し、いつもより歩調を落としてゆっくりと歩いている。風に吹かれて毛が美しく流れ、周囲の目を釘付けにした。足元のアスファルトが、少しだけ温かい。</t>
  </si>
  <si>
    <t>波打ち際を走るサーファーに対しても、●●は堂々と振る舞っている。舌を出し、いつもより歩調を落としてゆっくりと歩いている。通行人の足元に顔を寄せ、愛くるしい仕草で撫でてとせがんだ。風が心地よく、耳元を通り抜けていった。</t>
  </si>
  <si>
    <t>鳴いているセミに対しても、●●は堂々と振る舞っている。舌を出し、いつもより歩調を落としてゆっくりと歩いている。背筋をピンと伸ばした姿勢で、まるでモデルのような風格で歩く。周囲の空気までもが華やぐようだ。</t>
  </si>
  <si>
    <t>噴水で遊ぶ子供たちに対しても、●●は堂々と振る舞っている。舌を出し、いつもより歩調を落としてゆっくりと歩いている。偶然出会ったプロのトレーナーに、特別なコツを教えてもらった。あなたは誇らしい気持ちでリードを握った。</t>
  </si>
  <si>
    <t>流木に対しても、●●は堂々と振る舞っている。道行く人を次々と誘うように、活発に動き回っている。誘惑の多い場所でも、あなたの歩幅に合わせて静かに歩き続けた。これからのコンテストに向けた自信に繋がる。</t>
  </si>
  <si>
    <t>鳩の群れに対しても、●●は堂々と振る舞っている。全身からエネルギーが溢れ、どんな障害物も軽々と乗り越えていく。長い階段を上りきっても、呼吸を乱すことなく余裕の表情だ。賑やかな話し声が、遠くで聞こえている。</t>
  </si>
  <si>
    <t>木の上から見下ろすカラスに対しても、●●は堂々と振る舞っている。道行く人を次々と誘うように、活発に動き回っている。高い縁石にひらりと飛び乗り、抜群の身体能力を見せつけた。足元のアスファルトが、少しだけ温かい。</t>
  </si>
  <si>
    <t>木の上から見下ろすカラスに対しても、●●は堂々と振る舞っている。道行く人を次々と誘うように、活発に動き回っている。周囲の喧騒を一切無視し、あなたの合図だけに全神経を注いでいる。風が心地よく、耳元を通り抜けていった。</t>
  </si>
  <si>
    <t>宅配便のトラックに対しても、●●は堂々と振る舞っている。全身からエネルギーが溢れ、どんな障害物も軽々と乗り越えていく。ブラッシングしたての被毛が太陽を反射し、通行人が見惚れている。周囲の空気までもが華やぐようだ。</t>
  </si>
  <si>
    <t>店先の招き猫に対しても、●●は堂々と振る舞っている。道行く人を次々と誘うように、活発に動き回っている。通行人の足元に顔を寄せ、愛くるしい仕草で撫でてとせがんだ。道行く人が思わず笑顔をこぼしている。</t>
  </si>
  <si>
    <t>お洒落なカフェの店員さんに対しても、●●は堂々と振る舞っている。道行く人を次々と誘うように、活発に動き回っている。四肢を堂々と踏み出し、完成された美しいシルエットを披露した。あなたは誇らしい気持ちでリードを握った。</t>
  </si>
  <si>
    <t>鳴いているセミに対しても、●●は堂々と振る舞っている。道行く人を次々と誘うように、活発に動き回っている。仕掛けのある看板の仕組みを理解したようで、賢い振る舞いを見せた。これからのコンテストに向けた自信に繋がる。</t>
  </si>
  <si>
    <t>鳴いているセミに対しても、●●は堂々と振る舞っている。道行く人を次々と誘うように、活発に動き回っている。偶然出会ったプロのトレーナーに、特別なコツを教えてもらった。静かな時間が、二人の間に流れていく。</t>
  </si>
  <si>
    <t>すれ違う本格的なハイカーに対しても、●●は堂々と振る舞っている。横断歩道の前で、指示される前にぴたっとお座りをして待機した。一瞬の隙も見せず、素早い身のこなしで周囲を驚かせた。賑やかな話し声が、遠くで聞こえている。</t>
  </si>
  <si>
    <t>流木に対しても、●●は堂々と振る舞っている。誘惑の多い場所でも、あなたの歩幅に合わせて静かに歩き続けた。高い縁石にひらりと飛び乗り、抜群の身体能力を見せつけた。風が心地よく、耳元を通り抜けていった。</t>
  </si>
  <si>
    <t>店先の招き猫に対しても、●●は堂々と振る舞っている。横断歩道の前で、指示される前にぴたっとお座りをして待機した。周囲の喧騒を一切無視し、あなたの合図だけに全神経を注いでいる。周囲の空気までもが華やぐようだ。</t>
  </si>
  <si>
    <t>鳩の群れに対しても、●●は堂々と振る舞っている。横断歩道の前で、指示される前にぴたっとお座りをして待機した。風に吹かれて毛が美しく流れ、周囲の目を釘付けにした。道行く人が思わず笑顔をこぼしている。</t>
  </si>
  <si>
    <t>木陰から顔を出すリスに対しても、●●は堂々と振る舞っている。横断歩道の前で、指示される前にぴたっとお座りをして待機した。茂みの奥から、誰かが落とした珍しいおもちゃを見つけ出した。賑やかな話し声が、遠くで聞こえている。</t>
  </si>
  <si>
    <t>すれ違う本格的なハイカーに対しても、●●は堂々と振る舞っている。一瞬の隙も見せず、素早い身のこなしで周囲を驚かせた。長い階段を上りきっても、呼吸を乱すことなく余裕の表情だ。足元のアスファルトが、少しだけ温かい。</t>
  </si>
  <si>
    <t>木の上から見下ろすカラスに対しても、●●は堂々と振る舞っている。一瞬の隙も見せず、素早い身のこなしで周囲を驚かせた。足元の溝を驚異的な跳躍で飛び越え、着地も見事に決めた。風が心地よく、耳元を通り抜けていった。</t>
  </si>
  <si>
    <t>釣りをしているお兄さんに対しても、●●は堂々と振る舞っている。風を切るような足取りで、あっという間に目的の角まで辿り着いた。周囲の喧騒を一切無視し、あなたの合図だけに全神経を注いでいる。周囲の空気までもが華やぐようだ。</t>
  </si>
  <si>
    <t>すれ違う本格的なハイカーに対しても、●●は堂々と振る舞っている。一瞬の隙も見せず、素早い身のこなしで周囲を驚かせた。風に吹かれて毛が美しく流れ、周囲の目を釘付けにした。道行く人が思わず笑顔をこぼしている。</t>
  </si>
  <si>
    <t>鳴いているセミに対しても、●●は堂々と振る舞っている。一瞬の隙も見せず、素早い身のこなしで周囲を驚かせた。誰にでも尻尾を振って近づき、すぐにその場の人気者になった。あなたは誇らしい気持ちでリードを握った。</t>
  </si>
  <si>
    <t>お洒落なカフェの店員さんに対しても、●●は堂々と振る舞っている。一瞬の隙も見せず、素早い身のこなしで周囲を驚かせた。四肢を堂々と踏み出し、完成された美しいシルエットを披露した。これからのコンテストに向けた自信に繋がる。</t>
  </si>
  <si>
    <t>道端の野イチゴに対しても、●●は堂々と振る舞っている。一瞬の隙も見せず、素早い身のこなしで周囲を驚かせた。仕掛けのある看板の仕組みを理解したようで、賢い振る舞いを見せた。静かな時間が、二人の間に流れていく。</t>
  </si>
  <si>
    <t>休憩中の登山グループに対しても、●●は堂々と振る舞っている。長い階段を上りきっても、呼吸を乱すことなく余裕の表情だ。足元の溝を驚異的な跳躍で飛び越え、着地も見事に決めた。足元のアスファルトが、少しだけ温かい。</t>
  </si>
  <si>
    <t>流木に対しても、●●は堂々と振る舞っている。何キロも歩いた後でも、力強い足取りであなたをリードしている。周囲の喧騒を一切無視し、あなたの合図だけに全神経を注いでいる。風が心地よく、耳元を通り抜けていった。</t>
  </si>
  <si>
    <t>鳩の群れに対しても、●●は堂々と振る舞っている。何キロも歩いた後でも、力強い足取りであなたをリードしている。風に吹かれて毛が美しく流れ、周囲の目を釘付けにした。周囲の空気までもが華やぐようだ。</t>
  </si>
  <si>
    <t>すれ違う本格的なハイカーに対しても、●●は堂々と振る舞っている。何キロも歩いた後でも、力強い足取りであなたをリードしている。誰にでも尻尾を振って近づき、すぐにその場の人気者になった。道行く人が思わず笑顔をこぼしている。</t>
  </si>
  <si>
    <t>登校中の小学生たちに対しても、●●は堂々と振る舞っている。足元の溝を驚異的な跳躍で飛び越え、着地も見事に決めた。獲物を狙うように一点を見つめ、微動だにせず状況を観察している。賑やかな話し声が、遠くで聞こえている。</t>
  </si>
  <si>
    <t>ベンチで新聞を読むおじいさんに対しても、●●は堂々と振る舞っている。足元の溝を驚異的な跳躍で飛び越え、着地も見事に決めた。風に吹かれて毛が美しく流れ、周囲の目を釘付けにした。足元のアスファルトが、少しだけ温かい。</t>
  </si>
  <si>
    <t>流木に対しても、●●は堂々と振る舞っている。足元の溝を驚異的な跳躍で飛び越え、着地も見事に決めた。通行人の足元に顔を寄せ、愛くるしい仕草で撫でてとせがんだ。風が心地よく、耳元を通り抜けていった。</t>
  </si>
  <si>
    <t>砂浜で穴を掘る小さなカニに対しても、●●は堂々と振る舞っている。高い縁石にひらりと飛び乗り、抜群の身体能力を見せつけた。背筋をピンと伸ばした姿勢で、まるでモデルのような風格で歩く。周囲の空気までもが華やぐようだ。</t>
  </si>
  <si>
    <t>すれ違う本格的なハイカーに対しても、●●は堂々と振る舞っている。高い縁石にひらりと飛び乗り、抜群の身体能力を見せつけた。茂みの奥から、誰かが落とした珍しいおもちゃを見つけ出した。あなたは誇らしい気持ちでリードを握った。</t>
  </si>
  <si>
    <t>鳴いているセミに対しても、●●は堂々と振る舞っている。周囲の喧騒を一切無視し、あなたの合図だけに全神経を注いでいる。通行人の足元に顔を寄せ、愛くるしい仕草で撫でてとせがんだ。静かな時間が、二人の間に流れていく。</t>
  </si>
  <si>
    <t>宅配便のトラックに対しても、●●は堂々と振る舞っている。周囲の喧騒を一切無視し、あなたの合図だけに全神経を注いでいる。茂みの奥から、誰かが落とした珍しいおもちゃを見つけ出した。風が心地よく、耳元を通り抜けていった。</t>
  </si>
  <si>
    <t>砂浜で穴を掘る小さなカニに対しても、●●は堂々と振る舞っている。ブラッシングしたての被毛が太陽を反射し、通行人が見惚れている。通行人の足元に顔を寄せ、愛くるしい仕草で撫でてとせがんだ。周囲の空気までもが華やぐようだ。</t>
  </si>
  <si>
    <t>散歩中のチワワに対しても、●●は堂々と振る舞っている。風に吹かれて毛が美しく流れ、周囲の目を釘付けにした。背筋をピンと伸ばした姿勢で、まるでモデルのような風格で歩く。道行く人が思わず笑顔をこぼしている。</t>
  </si>
  <si>
    <t>登校中の小学生たちに対しても、●●は堂々と振る舞っている。風に吹かれて毛が美しく流れ、周囲の目を釘付けにした。仕掛けのある看板の仕組みを理解したようで、賢い振る舞いを見せた。あなたは誇らしい気持ちでリードを握った。</t>
  </si>
  <si>
    <t>店先の招き猫に対しても、●●は堂々と振る舞っている。風に吹かれて毛が美しく流れ、周囲の目を釘付けにした。偶然出会ったプロのトレーナーに、特別なコツを教えてもらった。これからのコンテストに向けた自信に繋がる。</t>
  </si>
  <si>
    <t>砂浜で穴を掘る小さなカニに対しても、●●は堂々と振る舞っている。通行人の足元に顔を寄せ、愛くるしい仕草で撫でてとせがんだ。四肢を堂々と踏み出し、完成された美しいシルエットを披露した。静かな時間が、二人の間に流れていく。</t>
  </si>
  <si>
    <t>木陰から顔を出すリスに対しても、●●は堂々と振る舞っている。通行人の足元に顔を寄せ、愛くるしい仕草で撫でてとせがんだ。偶然出会ったプロのトレーナーに、特別なコツを教えてもらった。足元のアスファルトが、少しだけ温かい。</t>
  </si>
  <si>
    <t>お洒落なカフェの店員さんに対しても、●●は堂々と振る舞っている。四肢を堂々と踏み出し、完成された美しいシルエットを披露した。偶然出会ったプロのトレーナーに、特別なコツを教えてもらった。周囲の空気までもが華やぐようだ。</t>
  </si>
  <si>
    <t>釣りをしているお兄さんに対しても、●●は堂々と振る舞っている。複雑な分かれ道でも、以前通ったルートを正確に思い出して進んだ。茂みの奥から、誰かが落とした珍しいおもちゃを見つけ出した。道行く人が思わず笑顔をこぼしている。</t>
  </si>
  <si>
    <t>散歩仲間のゴールデンレトリバーを見つけると、●●は夢中で駆け寄った。水たまりにダイブして、お腹まで泥だらけになってしまった。工事現場の砂埃を浴びて、全身が白っぽくなってしまった。道行く人が思わず笑顔をこぼしている。</t>
  </si>
  <si>
    <t>宅配便のトラックを見つけると、●●は夢中で駆け寄った。電柱の匂いを熱心に嗅いで、そわそわと周囲を回り始めた。電柱の匂いを熱心に嗅いで、そわそわと周囲を回り始めた。あなたは誇らしい気持ちでリードを握った。</t>
  </si>
  <si>
    <t>道端の野イチゴを見つけると、●●は夢中で駆け寄った。あなたの顔を何度も見上げ、足取り軽く並んで歩いている。あなたの顔を何度も見上げ、足取り軽く並んで歩いている。静かな時間が、二人の間に流れていく。</t>
  </si>
  <si>
    <t>登校中の小学生たちを見つけると、●●は夢中で駆け寄った。舌を出し、いつもより歩調を落としてゆっくりと歩いている。段差の前で立ち止まり、少しだけ休憩したそうな目で見つめてきた。足元のアスファルトが、少しだけ温かい。</t>
  </si>
  <si>
    <t>木の上から見下ろすカラスを見つけると、●●は夢中で駆け寄った。道行く人を次々と誘うように、活発に動き回っている。道行く人を次々と誘うように、活発に動き回っている。風が心地よく、耳元を通り抜けていった。</t>
  </si>
  <si>
    <t>釣りをしているお兄さんを見つけると、●●は夢中で駆け寄った。横断歩道の前で、指示される前にぴたっとお座りをして待機した。横断歩道の前で、指示される前にぴたっとお座りをして待機した。周囲の空気までもが華やぐようだ。</t>
  </si>
  <si>
    <t>道端の野イチゴを見つけると、●●は夢中で駆け寄った。一瞬の隙も見せず、素早い身のこなしで周囲を驚かせた。風を切るような足取りで、あっという間に目的の角まで辿り着いた。道行く人が思わず笑顔をこぼしている。</t>
  </si>
  <si>
    <t>波打ち際を走るサーファーを見つけると、●●は夢中で駆け寄った。長い階段を上りきっても、呼吸を乱すことなく余裕の表情だ。何キロも歩いた後でも、力強い足取りであなたをリードしている。あなたは誇らしい気持ちでリードを握った。</t>
  </si>
  <si>
    <t>木陰から顔を出すリスを見つけると、●●は夢中で駆け寄った。高い縁石にひらりと飛び乗り、抜群の身体能力を見せつけた。高い縁石にひらりと飛び乗り、抜群の身体能力を見せつけた。これからのコンテストに向けた自信に繋がる。</t>
  </si>
  <si>
    <t>木陰から顔を出すリスを見つけると、●●は夢中で駆け寄った。誰にでも尻尾を振って近づき、すぐにその場の人気者になった。誰にでも尻尾を振って近づき、すぐにその場の人気者になった。足元のアスファルトが、少しだけ温かい。</t>
  </si>
  <si>
    <t>道端の野イチゴを見つけると、●●は夢中で駆け寄った。四肢を堂々と踏み出し、完成された美しいシルエットを披露した。背筋をピンと伸ばした姿勢で、まるでモデルのような風格で歩く。風が心地よく、耳元を通り抜けていった。</t>
  </si>
  <si>
    <t>噴水で遊ぶ子供たちを見つけると、●●は夢中で駆け寄った。仕掛けのある看板の仕組みを理解したようで、賢い振る舞いを見せた。仕掛けのある看板の仕組みを理解したようで、賢い振る舞いを見せた。周囲の空気までもが華やぐようだ。</t>
  </si>
  <si>
    <t>宅配便のトラックを見つけると、●●は夢中で駆け寄った。茂みの奥から、誰かが落とした珍しいおもちゃを見つけ出した。偶然出会ったプロのトレーナーに、特別なコツを教えてもらった。道行く人が思わず笑顔をこぼしている。</t>
  </si>
  <si>
    <t>登校中の小学生たちを見つけると、●●は夢中で駆け寄った。水たまりにダイブして、お腹まで泥だらけになってしまった。電柱の匂いを熱心に嗅いで、そわそわと周囲を回り始めた。あなたは誇らしい気持ちでリードを握った。</t>
  </si>
  <si>
    <t>芝生でヨガをするグループを見つけると、●●は夢中で駆け寄った。工事現場の砂埃を浴びて、全身が白っぽくなってしまった。動くものすべてに反応して、尻尾をちぎれんばかりに振っている。これからのコンテストに向けた自信に繋がる。</t>
  </si>
  <si>
    <t>登校中の小学生たちを見つけると、●●は夢中で駆け寄った。工事現場の砂埃を浴びて、全身が白っぽくなってしまった。撫でられて満足そうに目を細め、幸せそうな吐息をついた。静かな時間が、二人の間に流れていく。</t>
  </si>
  <si>
    <t>波打ち際を走るサーファーを見つけると、●●は夢中で駆け寄った。水たまりにダイブして、お腹まで泥だらけになってしまった。ベンチの横で座り込み、まどろみながらあなたの指示を待っている。賑やかな話し声が、遠くで聞こえている。</t>
  </si>
  <si>
    <t>鳴いているセミを見つけると、●●は夢中で駆け寄った。水たまりにダイブして、お腹まで泥だらけになってしまった。段差の前で立ち止まり、少しだけ休憩したそうな目で見つめてきた。足元のアスファルトが、少しだけ温かい。</t>
  </si>
  <si>
    <t>木陰から顔を出すリスを見つけると、●●は夢中で駆け寄った。水たまりにダイブして、お腹まで泥だらけになってしまった。全身からエネルギーが溢れ、どんな障害物も軽々と乗り越えていく。風が心地よく、耳元を通り抜けていった。</t>
  </si>
  <si>
    <t>空を旋回するカモメを見つけると、●●は夢中で駆け寄った。水たまりにダイブして、お腹まで泥だらけになってしまった。横断歩道の前で、指示される前にぴたっとお座りをして待機した。周囲の空気までもが華やぐようだ。</t>
  </si>
  <si>
    <t>木の上から見下ろすカラスを見つけると、●●は夢中で駆け寄った。水たまりにダイブして、お腹まで泥だらけになってしまった。風を切るような足取りで、あっという間に目的の角まで辿り着いた。道行く人が思わず笑顔をこぼしている。</t>
  </si>
  <si>
    <t>波打ち際を走るサーファーを見つけると、●●は夢中で駆け寄った。水たまりにダイブして、お腹まで泥だらけになってしまった。何キロも歩いた後でも、力強い足取りであなたをリードしている。あなたは誇らしい気持ちでリードを握った。</t>
  </si>
  <si>
    <t>散歩中のチワワを見つけると、●●は夢中で駆け寄った。工事現場の砂埃を浴びて、全身が白っぽくなってしまった。足元の溝を驚異的な跳躍で飛び越え、着地も見事に決めた。これからのコンテストに向けた自信に繋がる。</t>
  </si>
  <si>
    <t>道端の野イチゴを見つけると、●●は夢中で駆け寄った。工事現場の砂埃を浴びて、全身が白っぽくなってしまった。獲物を狙うように一点を見つめ、微動だにせず状況を観察している。静かな時間が、二人の間に流れていく。</t>
  </si>
  <si>
    <t>空を旋回するカモメを見つけると、●●は夢中で駆け寄った。工事現場の砂埃を浴びて、全身が白っぽくなってしまった。ブラッシングしたての被毛が太陽を反射し、通行人が見惚れている。賑やかな話し声が、遠くで聞こえている。</t>
  </si>
  <si>
    <t>散歩中のチワワを見つけると、●●は夢中で駆け寄った。工事現場の砂埃を浴びて、全身が白っぽくなってしまった。通行人の足元に顔を寄せ、愛くるしい仕草で撫でてとせがんだ。足元のアスファルトが、少しだけ温かい。</t>
  </si>
  <si>
    <t>釣りをしているお兄さんを見つけると、●●は夢中で駆け寄った。水たまりにダイブして、お腹まで泥だらけになってしまった。背筋をピンと伸ばした姿勢で、まるでモデルのような風格で歩く。風が心地よく、耳元を通り抜けていった。</t>
  </si>
  <si>
    <t>鳩の群れを見つけると、●●は夢中で駆け寄った。工事現場の砂埃を浴びて、全身が白っぽくなってしまった。複雑な分かれ道でも、以前通ったルートを正確に思い出して進んだ。周囲の空気までもが華やぐようだ。</t>
  </si>
  <si>
    <t>鳩の群れを見つけると、●●は夢中で駆け寄った。水たまりにダイブして、お腹まで泥だらけになってしまった。偶然出会ったプロのトレーナーに、特別なコツを教えてもらった。道行く人が思わず笑顔をこぼしている。</t>
  </si>
  <si>
    <t>登校中の小学生たちを見つけると、●●は夢中で駆け寄った。電柱の匂いを熱心に嗅いで、そわそわと周囲を回り始めた。大きな音に驚いて、鼻を鳴らしながらあなたの周りを飛び跳ねた。あなたは誇らしい気持ちでリードを握った。</t>
  </si>
  <si>
    <t>道端の野イチゴを見つけると、●●は夢中で駆け寄った。電柱の匂いを熱心に嗅いで、そわそわと周囲を回り始めた。あなたの顔を何度も見上げ、足取り軽く並んで歩いている。これからのコンテストに向けた自信に繋がる。</t>
  </si>
  <si>
    <t>散歩中のチワワを見つけると、●●は夢中で駆け寄った。茂みの奥深くに入り込み、じっと一点を見つめて動かなくなった。歩きながら大きなあくびをして、今にもその場で寝落ちしそうだ。静かな時間が、二人の間に流れていく。</t>
  </si>
  <si>
    <t>噴水で遊ぶ子供たちを見つけると、●●は夢中で駆け寄った。電柱の匂いを熱心に嗅いで、そわそわと周囲を回り始めた。舌を出し、いつもより歩調を落としてゆっくりと歩いている。賑やかな話し声が、遠くで聞こえている。</t>
  </si>
  <si>
    <t>ベンチで新聞を読むおじいさんを見つけると、●●は夢中で駆け寄った。茂みの奥深くに入り込み、じっと一点を見つめて動かなくなった。道行く人を次々と誘うように、活発に動き回っている。足元のアスファルトが、少しだけ温かい。</t>
  </si>
  <si>
    <t>木陰から顔を出すリスを見つけると、●●は夢中で駆け寄った。茂みの奥深くに入り込み、じっと一点を見つめて動かなくなった。風を切るような足取りで、あっという間に目的の角まで辿り着いた。周囲の空気までもが華やぐようだ。</t>
  </si>
  <si>
    <t>宅配便のトラックを見つけると、●●は夢中で駆け寄った。茂みの奥深くに入り込み、じっと一点を見つめて動かなくなった。何キロも歩いた後でも、力強い足取りであなたをリードしている。道行く人が思わず笑顔をこぼしている。</t>
  </si>
  <si>
    <t>登校中の小学生たちを見つけると、●●は夢中で駆け寄った。茂みの奥深くに入り込み、じっと一点を見つめて動かなくなった。高い縁石にひらりと飛び乗り、抜群の身体能力を見せつけた。あなたは誇らしい気持ちでリードを握った。</t>
  </si>
  <si>
    <t>すれ違う本格的なハイカーを見つけると、●●は夢中で駆け寄った。電柱の匂いを熱心に嗅いで、そわそわと周囲を回り始めた。ブラッシングしたての被毛が太陽を反射し、通行人が見惚れている。静かな時間が、二人の間に流れていく。</t>
  </si>
  <si>
    <t>噴水で遊ぶ子供たちを見つけると、●●は夢中で駆け寄った。茂みの奥深くに入り込み、じっと一点を見つめて動かなくなった。通行人の足元に顔を寄せ、愛くるしい仕草で撫でてとせがんだ。賑やかな話し声が、遠くで聞こえている。</t>
  </si>
  <si>
    <t>登校中の小学生たちを見つけると、●●は夢中で駆け寄った。茂みの奥深くに入り込み、じっと一点を見つめて動かなくなった。背筋をピンと伸ばした姿勢で、まるでモデルのような風格で歩く。足元のアスファルトが、少しだけ温かい。</t>
  </si>
  <si>
    <t>店先の招き猫を見つけると、●●は夢中で駆け寄った。電柱の匂いを熱心に嗅いで、そわそわと周囲を回り始めた。仕掛けのある看板の仕組みを理解したようで、賢い振る舞いを見せた。風が心地よく、耳元を通り抜けていった。</t>
  </si>
  <si>
    <t>釣りをしているお兄さんを見つけると、●●は夢中で駆け寄った。茂みの奥深くに入り込み、じっと一点を見つめて動かなくなった。茂みの奥から、誰かが落とした珍しいおもちゃを見つけ出した。周囲の空気までもが華やぐようだ。</t>
  </si>
  <si>
    <t>道端の野イチゴを見つけると、●●は夢中で駆け寄った。動くものすべてに反応して、尻尾をちぎれんばかりに振っている。撫でられて満足そうに目を細め、幸せそうな吐息をついた。道行く人が思わず笑顔をこぼしている。</t>
  </si>
  <si>
    <t>宅配便のトラックを見つけると、●●は夢中で駆け寄った。大きな音に驚いて、鼻を鳴らしながらあなたの周りを飛び跳ねた。歩きながら大きなあくびをして、今にもその場で寝落ちしそうだ。あなたは誇らしい気持ちでリードを握った。</t>
  </si>
  <si>
    <t>空を旋回するカモメを見つけると、●●は夢中で駆け寄った。大きな音に驚いて、鼻を鳴らしながらあなたの周りを飛び跳ねた。風を切るような足取りで、あっという間に目的の角まで辿り着いた。足元のアスファルトが、少しだけ温かい。</t>
  </si>
  <si>
    <t>登校中の小学生たちを見つけると、●●は夢中で駆け寄った。動くものすべてに反応して、尻尾をちぎれんばかりに振っている。長い階段を上りきっても、呼吸を乱すことなく余裕の表情だ。風が心地よく、耳元を通り抜けていった。</t>
  </si>
  <si>
    <t>すれ違う本格的なハイカーを見つけると、●●は夢中で駆け寄った。動くものすべてに反応して、尻尾をちぎれんばかりに振っている。足元の溝を驚異的な跳躍で飛び越え、着地も見事に決めた。周囲の空気までもが華やぐようだ。</t>
  </si>
  <si>
    <t>宅配便のトラックを見つけると、●●は夢中で駆け寄った。動くものすべてに反応して、尻尾をちぎれんばかりに振っている。風に吹かれて毛が美しく流れ、周囲の目を釘付けにした。あなたは誇らしい気持ちでリードを握った。</t>
  </si>
  <si>
    <t>噴水で遊ぶ子供たちを見つけると、●●は夢中で駆け寄った。動くものすべてに反応して、尻尾をちぎれんばかりに振っている。誰にでも尻尾を振って近づき、すぐにその場の人気者になった。これからのコンテストに向けた自信に繋がる。</t>
  </si>
  <si>
    <t>散歩中のチワワを見つけると、●●は夢中で駆け寄った。大きな音に驚いて、鼻を鳴らしながらあなたの周りを飛び跳ねた。仕掛けのある看板の仕組みを理解したようで、賢い振る舞いを見せた。賑やかな話し声が、遠くで聞こえている。</t>
  </si>
  <si>
    <t>自転車に乗ったおじさんを見つけると、●●は夢中で駆け寄った。大きな音に驚いて、鼻を鳴らしながらあなたの周りを飛び跳ねた。偶然出会ったプロのトレーナーに、特別なコツを教えてもらった。足元のアスファルトが、少しだけ温かい。</t>
  </si>
  <si>
    <t>休憩中の登山グループを見つけると、●●は夢中で駆け寄った。撫でられて満足そうに目を細め、幸せそうな吐息をついた。ベンチの横で座り込み、まどろみながらあなたの指示を待っている。風が心地よく、耳元を通り抜けていった。</t>
  </si>
  <si>
    <t>散歩中のチワワを見つけると、●●は夢中で駆け寄った。あなたの顔を何度も見上げ、足取り軽く並んで歩いている。段差の前で立ち止まり、少しだけ休憩したそうな目で見つめてきた。周囲の空気までもが華やぐようだ。</t>
  </si>
  <si>
    <t>信号待ちのジョギング中の女性を見つけると、●●は夢中で駆け寄った。撫でられて満足そうに目を細め、幸せそうな吐息をついた。道行く人を次々と誘うように、活発に動き回っている。道行く人が思わず笑顔をこぼしている。</t>
  </si>
  <si>
    <t>登校中の小学生たちを見つけると、●●は夢中で駆け寄った。撫でられて満足そうに目を細め、幸せそうな吐息をついた。横断歩道の前で、指示される前にぴたっとお座りをして待機した。あなたは誇らしい気持ちでリードを握った。</t>
  </si>
  <si>
    <t>釣りをしているお兄さんを見つけると、●●は夢中で駆け寄った。あなたの顔を何度も見上げ、足取り軽く並んで歩いている。一瞬の隙も見せず、素早い身のこなしで周囲を驚かせた。これからのコンテストに向けた自信に繋がる。</t>
  </si>
  <si>
    <t>空を旋回するカモメを見つけると、●●は夢中で駆け寄った。あなたの顔を何度も見上げ、足取り軽く並んで歩いている。長い階段を上りきっても、呼吸を乱すことなく余裕の表情だ。静かな時間が、二人の間に流れていく。</t>
  </si>
  <si>
    <t>砂浜で穴を掘る小さなカニを見つけると、●●は夢中で駆け寄った。撫でられて満足そうに目を細め、幸せそうな吐息をついた。足元の溝を驚異的な跳躍で飛び越え、着地も見事に決めた。賑やかな話し声が、遠くで聞こえている。</t>
  </si>
  <si>
    <t>釣りをしているお兄さんを見つけると、●●は夢中で駆け寄った。撫でられて満足そうに目を細め、幸せそうな吐息をついた。獲物を狙うように一点を見つめ、微動だにせず状況を観察している。足元のアスファルトが、少しだけ温かい。</t>
  </si>
  <si>
    <t>すれ違う本格的なハイカーを見つけると、●●は夢中で駆け寄った。あなたの顔を何度も見上げ、足取り軽く並んで歩いている。ブラッシングしたての被毛が太陽を反射し、通行人が見惚れている。風が心地よく、耳元を通り抜けていった。</t>
  </si>
  <si>
    <t>道端の野イチゴを見つけると、●●は夢中で駆け寄った。あなたの顔を何度も見上げ、足取り軽く並んで歩いている。誰にでも尻尾を振って近づき、すぐにその場の人気者になった。周囲の空気までもが華やぐようだ。</t>
  </si>
  <si>
    <t>道端の野イチゴを見つけると、●●は夢中で駆け寄った。あなたの顔を何度も見上げ、足取り軽く並んで歩いている。四肢を堂々と踏み出し、完成された美しいシルエットを披露した。道行く人が思わず笑顔をこぼしている。</t>
  </si>
  <si>
    <t>木陰から顔を出すリスを見つけると、●●は夢中で駆け寄った。あなたの顔を何度も見上げ、足取り軽く並んで歩いている。複雑な分かれ道でも、以前通ったルートを正確に思い出して進んだ。あなたは誇らしい気持ちでリードを握った。</t>
  </si>
  <si>
    <t>木の上から見下ろすカラスを見つけると、●●は夢中で駆け寄った。撫でられて満足そうに目を細め、幸せそうな吐息をついた。茂みの奥から、誰かが落とした珍しいおもちゃを見つけ出した。これからのコンテストに向けた自信に繋がる。</t>
  </si>
  <si>
    <t>流木を見つけると、●●は夢中で駆け寄った。歩きながら大きなあくびをして、今にもその場で寝落ちしそうだ。一瞬の隙も見せず、素早い身のこなしで周囲を驚かせた。風が心地よく、耳元を通り抜けていった。</t>
  </si>
  <si>
    <t>店先の招き猫を見つけると、●●は夢中で駆け寄った。歩きながら大きなあくびをして、今にもその場で寝落ちしそうだ。長い階段を上りきっても、呼吸を乱すことなく余裕の表情だ。周囲の空気までもが華やぐようだ。</t>
  </si>
  <si>
    <t>噴水で遊ぶ子供たちを見つけると、●●は夢中で駆け寄った。歩きながら大きなあくびをして、今にもその場で寝落ちしそうだ。高い縁石にひらりと飛び乗り、抜群の身体能力を見せつけた。道行く人が思わず笑顔をこぼしている。</t>
  </si>
  <si>
    <t>自転車に乗ったおじさんを見つけると、●●は夢中で駆け寄った。歩きながら大きなあくびをして、今にもその場で寝落ちしそうだ。誰にでも尻尾を振って近づき、すぐにその場の人気者になった。静かな時間が、二人の間に流れていく。</t>
  </si>
  <si>
    <t>空を旋回するカモメを見つけると、●●は夢中で駆け寄った。ベンチの横で座り込み、まどろみながらあなたの指示を待っている。四肢を堂々と踏み出し、完成された美しいシルエットを披露した。賑やかな話し声が、遠くで聞こえている。</t>
  </si>
  <si>
    <t>道端の野イチゴを見つけると、●●は夢中で駆け寄った。歩きながら大きなあくびをして、今にもその場で寝落ちしそうだ。仕掛けのある看板の仕組みを理解したようで、賢い振る舞いを見せた。足元のアスファルトが、少しだけ温かい。</t>
  </si>
  <si>
    <t>釣りをしているお兄さんを見つけると、●●は夢中で駆け寄った。ベンチの横で座り込み、まどろみながらあなたの指示を待っている。茂みの奥から、誰かが落とした珍しいおもちゃを見つけ出した。風が心地よく、耳元を通り抜けていった。</t>
  </si>
  <si>
    <t>すれ違う本格的なハイカーを見つけると、●●は夢中で駆け寄った。舌を出し、いつもより歩調を落としてゆっくりと歩いている。道行く人を次々と誘うように、活発に動き回っている。周囲の空気までもが華やぐようだ。</t>
  </si>
  <si>
    <t>自転車に乗ったおじさんを見つけると、●●は夢中で駆け寄った。段差の前で立ち止まり、少しだけ休憩したそうな目で見つめてきた。横断歩道の前で、指示される前にぴたっとお座りをして待機した。道行く人が思わず笑顔をこぼしている。</t>
  </si>
  <si>
    <t>散歩中のチワワを見つけると、●●は夢中で駆け寄った。段差の前で立ち止まり、少しだけ休憩したそうな目で見つめてきた。風を切るような足取りで、あっという間に目的の角まで辿り着いた。あなたは誇らしい気持ちでリードを握った。</t>
  </si>
  <si>
    <t>宅配便のトラックを見つけると、●●は夢中で駆け寄った。段差の前で立ち止まり、少しだけ休憩したそうな目で見つめてきた。長い階段を上りきっても、呼吸を乱すことなく余裕の表情だ。これからのコンテストに向けた自信に繋がる。</t>
  </si>
  <si>
    <t>空を旋回するカモメを見つけると、●●は夢中で駆け寄った。段差の前で立ち止まり、少しだけ休憩したそうな目で見つめてきた。足元の溝を驚異的な跳躍で飛び越え、着地も見事に決めた。静かな時間が、二人の間に流れていく。</t>
  </si>
  <si>
    <t>鳩の群れを見つけると、●●は夢中で駆け寄った。段差の前で立ち止まり、少しだけ休憩したそうな目で見つめてきた。ブラッシングしたての被毛が太陽を反射し、通行人が見惚れている。足元のアスファルトが、少しだけ温かい。</t>
  </si>
  <si>
    <t>砂浜で穴を掘る小さなカニを見つけると、●●は夢中で駆け寄った。舌を出し、いつもより歩調を落としてゆっくりと歩いている。誰にでも尻尾を振って近づき、すぐにその場の人気者になった。風が心地よく、耳元を通り抜けていった。</t>
  </si>
  <si>
    <t>木陰から顔を出すリスを見つけると、●●は夢中で駆け寄った。舌を出し、いつもより歩調を落としてゆっくりと歩いている。四肢を堂々と踏み出し、完成された美しいシルエットを披露した。周囲の空気までもが華やぐようだ。</t>
  </si>
  <si>
    <t>信号待ちのジョギング中の女性を見つけると、●●は夢中で駆け寄った。道行く人を次々と誘うように、活発に動き回っている。一瞬の隙も見せず、素早い身のこなしで周囲を驚かせた。静かな時間が、二人の間に流れていく。</t>
  </si>
  <si>
    <t>鳩の群れを見つけると、●●は夢中で駆け寄った。全身からエネルギーが溢れ、どんな障害物も軽々と乗り越えていく。何キロも歩いた後でも、力強い足取りであなたをリードしている。賑やかな話し声が、遠くで聞こえている。</t>
  </si>
  <si>
    <t>ベンチで新聞を読むおじいさんを見つけると、●●は夢中で駆け寄った。道行く人を次々と誘うように、活発に動き回っている。高い縁石にひらりと飛び乗り、抜群の身体能力を見せつけた。足元のアスファルトが、少しだけ温かい。</t>
  </si>
  <si>
    <t>鳩の群れを見つけると、●●は夢中で駆け寄った。全身からエネルギーが溢れ、どんな障害物も軽々と乗り越えていく。周囲の喧騒を一切無視し、あなたの合図だけに全神経を注いでいる。風が心地よく、耳元を通り抜けていった。</t>
  </si>
  <si>
    <t>登校中の小学生たちを見つけると、●●は夢中で駆け寄った。道行く人を次々と誘うように、活発に動き回っている。風に吹かれて毛が美しく流れ、周囲の目を釘付けにした。周囲の空気までもが華やぐようだ。</t>
  </si>
  <si>
    <t>自転車に乗ったおじさんを見つけると、●●は夢中で駆け寄った。全身からエネルギーが溢れ、どんな障害物も軽々と乗り越えていく。通行人の足元に顔を寄せ、愛くるしい仕草で撫でてとせがんだ。道行く人が思わず笑顔をこぼしている。</t>
  </si>
  <si>
    <t>宅配便のトラックを見つけると、●●は夢中で駆け寄った。道行く人を次々と誘うように、活発に動き回っている。四肢を堂々と踏み出し、完成された美しいシルエットを披露した。あなたは誇らしい気持ちでリードを握った。</t>
  </si>
  <si>
    <t>道端の野イチゴを見つけると、●●は夢中で駆け寄った。全身からエネルギーが溢れ、どんな障害物も軽々と乗り越えていく。複雑な分かれ道でも、以前通ったルートを正確に思い出して進んだ。これからのコンテストに向けた自信に繋がる。</t>
  </si>
  <si>
    <t>木陰から顔を出すリスを見つけると、●●は夢中で駆け寄った。道行く人を次々と誘うように、活発に動き回っている。偶然出会ったプロのトレーナーに、特別なコツを教えてもらった。静かな時間が、二人の間に流れていく。</t>
  </si>
  <si>
    <t>流木を見つけると、●●は夢中で駆け寄った。誘惑の多い場所でも、あなたの歩幅に合わせて静かに歩き続けた。何キロも歩いた後でも、力強い足取りであなたをリードしている。足元のアスファルトが、少しだけ温かい。</t>
  </si>
  <si>
    <t>散歩中のチワワを見つけると、●●は夢中で駆け寄った。横断歩道の前で、指示される前にぴたっとお座りをして待機した。足元の溝を驚異的な跳躍で飛び越え、着地も見事に決めた。風が心地よく、耳元を通り抜けていった。</t>
  </si>
  <si>
    <t>芝生でヨガをするグループを見つけると、●●は夢中で駆け寄った。横断歩道の前で、指示される前にぴたっとお座りをして待機した。風に吹かれて毛が美しく流れ、周囲の目を釘付けにした。道行く人が思わず笑顔をこぼしている。</t>
  </si>
  <si>
    <t>道端の野イチゴを見つけると、●●は夢中で駆け寄った。横断歩道の前で、指示される前にぴたっとお座りをして待機した。通行人の足元に顔を寄せ、愛くるしい仕草で撫でてとせがんだ。あなたは誇らしい気持ちでリードを握った。</t>
  </si>
  <si>
    <t>鳴いているセミを見つけると、●●は夢中で駆け寄った。誘惑の多い場所でも、あなたの歩幅に合わせて静かに歩き続けた。四肢を堂々と踏み出し、完成された美しいシルエットを披露した。これからのコンテストに向けた自信に繋がる。</t>
  </si>
  <si>
    <t>茂みの中で動くトカゲを見つけると、●●は夢中で駆け寄った。誘惑の多い場所でも、あなたの歩幅に合わせて静かに歩き続けた。仕掛けのある看板の仕組みを理解したようで、賢い振る舞いを見せた。静かな時間が、二人の間に流れていく。</t>
  </si>
  <si>
    <t>茂みの中で動くトカゲを見つけると、●●は夢中で駆け寄った。横断歩道の前で、指示される前にぴたっとお座りをして待機した。茂みの奥から、誰かが落とした珍しいおもちゃを見つけ出した。賑やかな話し声が、遠くで聞こえている。</t>
  </si>
  <si>
    <t>すれ違う本格的なハイカーを見つけると、●●は夢中で駆け寄った。一瞬の隙も見せず、素早い身のこなしで周囲を驚かせた。何キロも歩いた後でも、力強い足取りであなたをリードしている。足元のアスファルトが、少しだけ温かい。</t>
  </si>
  <si>
    <t>散歩仲間のゴールデンレトリバーを見つけると、●●は夢中で駆け寄った。一瞬の隙も見せず、素早い身のこなしで周囲を驚かせた。高い縁石にひらりと飛び乗り、抜群の身体能力を見せつけた。風が心地よく、耳元を通り抜けていった。</t>
  </si>
  <si>
    <t>波打ち際を走るサーファーを見つけると、●●は夢中で駆け寄った。風を切るような足取りで、あっという間に目的の角まで辿り着いた。周囲の喧騒を一切無視し、あなたの合図だけに全神経を注いでいる。周囲の空気までもが華やぐようだ。</t>
  </si>
  <si>
    <t>茂みの中で動くトカゲを見つけると、●●は夢中で駆け寄った。風を切るような足取りで、あっという間に目的の角まで辿り着いた。風に吹かれて毛が美しく流れ、周囲の目を釘付けにした。道行く人が思わず笑顔をこぼしている。</t>
  </si>
  <si>
    <t>鳴いているセミを見つけると、●●は夢中で駆け寄った。一瞬の隙も見せず、素早い身のこなしで周囲を驚かせた。誰にでも尻尾を振って近づき、すぐにその場の人気者になった。あなたは誇らしい気持ちでリードを握った。</t>
  </si>
  <si>
    <t>木陰から顔を出すリスを見つけると、●●は夢中で駆け寄った。風を切るような足取りで、あっという間に目的の角まで辿り着いた。複雑な分かれ道でも、以前通ったルートを正確に思い出して進んだ。静かな時間が、二人の間に流れていく。</t>
  </si>
  <si>
    <t>空を旋回するカモメを見つけると、●●は夢中で駆け寄った。一瞬の隙も見せず、素早い身のこなしで周囲を驚かせた。茂みの奥から、誰かが落とした珍しいおもちゃを見つけ出した。賑やかな話し声が、遠くで聞こえている。</t>
  </si>
  <si>
    <t>休憩中の登山グループを見つけると、●●は夢中で駆け寄った。長い階段を上りきっても、呼吸を乱すことなく余裕の表情だ。足元の溝を驚異的な跳躍で飛び越え、着地も見事に決めた。足元のアスファルトが、少しだけ温かい。</t>
  </si>
  <si>
    <t>釣りをしているお兄さんを見つけると、●●は夢中で駆け寄った。長い階段を上りきっても、呼吸を乱すことなく余裕の表情だ。獲物を狙うように一点を見つめ、微動だにせず状況を観察している。風が心地よく、耳元を通り抜けていった。</t>
  </si>
  <si>
    <t>噴水で遊ぶ子供たちを見つけると、●●は夢中で駆け寄った。長い階段を上りきっても、呼吸を乱すことなく余裕の表情だ。風に吹かれて毛が美しく流れ、周囲の目を釘付けにした。周囲の空気までもが華やぐようだ。</t>
  </si>
  <si>
    <t>茂みの中で動くトカゲを見つけると、●●は夢中で駆け寄った。長い階段を上りきっても、呼吸を乱すことなく余裕の表情だ。通行人の足元に顔を寄せ、愛くるしい仕草で撫でてとせがんだ。道行く人が思わず笑顔をこぼしている。</t>
  </si>
  <si>
    <t>木の上から見下ろすカラスを見つけると、●●は夢中で駆け寄った。長い階段を上りきっても、呼吸を乱すことなく余裕の表情だ。偶然出会ったプロのトレーナーに、特別なコツを教えてもらった。静かな時間が、二人の間に流れていく。</t>
  </si>
  <si>
    <t>店先の招き猫を見つけると、●●は夢中で駆け寄った。足元の溝を驚異的な跳躍で飛び越え、着地も見事に決めた。獲物を狙うように一点を見つめ、微動だにせず状況を観察している。賑やかな話し声が、遠くで聞こえている。</t>
  </si>
  <si>
    <t>釣りをしているお兄さんを見つけると、●●は夢中で駆け寄った。足元の溝を驚異的な跳躍で飛び越え、着地も見事に決めた。誰にでも尻尾を振って近づき、すぐにその場の人気者になった。風が心地よく、耳元を通り抜けていった。</t>
  </si>
  <si>
    <t>空を旋回するカモメを見つけると、●●は夢中で駆け寄った。高い縁石にひらりと飛び乗り、抜群の身体能力を見せつけた。四肢を堂々と踏み出し、完成された美しいシルエットを披露した。周囲の空気までもが華やぐようだ。</t>
  </si>
  <si>
    <t>芝生でヨガをするグループを見つけると、●●は夢中で駆け寄った。足元の溝を驚異的な跳躍で飛び越え、着地も見事に決めた。仕掛けのある看板の仕組みを理解したようで、賢い振る舞いを見せた。道行く人が思わず笑顔をこぼしている。</t>
  </si>
  <si>
    <t>鳴いているセミを見つけると、●●は夢中で駆け寄った。高い縁石にひらりと飛び乗り、抜群の身体能力を見せつけた。茂みの奥から、誰かが落とした珍しいおもちゃを見つけ出した。あなたは誇らしい気持ちでリードを握った。</t>
  </si>
  <si>
    <t>休憩中の登山グループを見つけると、●●は夢中で駆け寄った。周囲の喧騒を一切無視し、あなたの合図だけに全神経を注いでいる。通行人の足元に顔を寄せ、愛くるしい仕草で撫でてとせがんだ。静かな時間が、二人の間に流れていく。</t>
  </si>
  <si>
    <t>空を旋回するカモメを見つけると、●●は夢中で駆け寄った。周囲の喧騒を一切無視し、あなたの合図だけに全神経を注いでいる。四肢を堂々と踏み出し、完成された美しいシルエットを披露した。賑やかな話し声が、遠くで聞こえている。</t>
  </si>
  <si>
    <t>波打ち際を走るサーファーを見つけると、●●は夢中で駆け寄った。ブラッシングしたての被毛が太陽を反射し、通行人が見惚れている。通行人の足元に顔を寄せ、愛くるしい仕草で撫でてとせがんだ。周囲の空気までもが華やぐようだ。</t>
  </si>
  <si>
    <t>自転車に乗ったおじさんを見つけると、●●は夢中で駆け寄った。風に吹かれて毛が美しく流れ、周囲の目を釘付けにした。偶然出会ったプロのトレーナーに、特別なコツを教えてもらった。これからのコンテストに向けた自信に繋がる。</t>
  </si>
  <si>
    <t>空を旋回するカモメを見つけると、●●は夢中で駆け寄った。通行人の足元に顔を寄せ、愛くるしい仕草で撫でてとせがんだ。背筋をピンと伸ばした姿勢で、まるでモデルのような風格で歩く。静かな時間が、二人の間に流れていく。</t>
  </si>
  <si>
    <t>鳴いているセミを見つけると、●●は夢中で駆け寄った。通行人の足元に顔を寄せ、愛くるしい仕草で撫でてとせがんだ。偶然出会ったプロのトレーナーに、特別なコツを教えてもらった。足元のアスファルトが、少しだけ温かい。</t>
  </si>
  <si>
    <t>鳴いているセミを見つけると、●●は夢中で駆け寄った。四肢を堂々と踏み出し、完成された美しいシルエットを披露した。仕掛けのある看板の仕組みを理解したようで、賢い振る舞いを見せた。風が心地よく、耳元を通り抜けていった。</t>
  </si>
  <si>
    <t>自転車に乗ったおじさんを見つけると、●●は夢中で駆け寄った。背筋をピンと伸ばした姿勢で、まるでモデルのような風格で歩く。茂みの奥から、誰かが落とした珍しいおもちゃを見つけ出した。周囲の空気までもが華やぐようだ。</t>
  </si>
  <si>
    <t>釣りをしているお兄さんを見つけると、●●は夢中で駆け寄った。複雑な分かれ道でも、以前通ったルートを正確に思い出して進んだ。偶然出会ったプロのトレーナーに、特別なコツを教えてもらった。道行く人が思わず笑顔をこぼしている。</t>
  </si>
  <si>
    <t>お洒落なカフェの店員さんを見つけると、●●は夢中で駆け寄った。歩きながら大きなあくびをして、今にもその場で寝落ちしそうだ。ベンチの横で座り込み、まどろみながらあなたの指示を待っている。賑やかな話し声が、遠くで聞こえている。</t>
  </si>
  <si>
    <t>信号待ちのジョギング中の女性を見つけると、●●は夢中で駆け寄った。動くものすべてに反応して、尻尾をちぎれんばかりに振っている。四肢を堂々と踏み出し、完成された美しいシルエットを披露した。静かな時間が、二人の間に流れていく。</t>
  </si>
  <si>
    <t>芝生でヨガをするグループを見つけると、●●は夢中で駆け寄った。ベンチの横で座り込み、まどろみながらあなたの指示を待っている。段差の前で立ち止まり、少しだけ休憩したそうな目で見つめてきた。静かな時間が、二人の間に流れていく。</t>
  </si>
  <si>
    <t>ベンチで新聞を読むおじいさんを見つけると、●●は夢中で駆け寄った。舌を出し、いつもより歩調を落としてゆっくりと歩いている。偶然出会ったプロのトレーナーに、特別なコツを教えてもらった。あなたは誇らしい気持ちでリードを握った。</t>
  </si>
  <si>
    <t>すれ違う本格的なハイカーを見つけると、●●は夢中で駆け寄った。横断歩道の前で、指示される前にぴたっとお座りをして待機した。風を切るような足取りで、あっという間に目的の角まで辿り着いた。賑やかな話し声が、遠くで聞こえている。</t>
  </si>
  <si>
    <t>散歩仲間のゴールデンレトリバーを見つけると、●●は夢中で駆け寄った。足元の溝を驚異的な跳躍で飛び越え、着地も見事に決めた。ブラッシングしたての被毛が太陽を反射し、通行人が見惚れている。足元のアスファルトが、少しだけ温かい。</t>
  </si>
  <si>
    <t>芝生でヨガをするグループを見つけると、●●は夢中で駆け寄った。お腹の音が鳴り、誰かが食べているお弁当の匂いを必死に嗅いでいる。足元に落ちている木の実を、食べ物だと思って口に入れようとした。周囲の空気までもが華やぐようだ。</t>
    <phoneticPr fontId="3"/>
  </si>
  <si>
    <t>茂みの中で動くトカゲを見つけると、●●は夢中で駆け寄った。大きな音に驚いて、鼻を鳴らしながらあなたの周りを飛び跳ねた。動くものすべてに反応して、尻尾をちぎれんばかりに振っている。これからのコンテストに向けた自信に繋がる。</t>
    <phoneticPr fontId="3"/>
  </si>
  <si>
    <t>釣りをしているお兄さんを見つけると、●●は夢中で駆け寄った。獲物を狙うように一点を見つめ、微動だにせず状況を観察している。獲物を狙うように一点を見つめ、微動だにせず状況を観察している。静かな時間が、二人の間に流れていく。</t>
    <phoneticPr fontId="3"/>
  </si>
  <si>
    <t>芝生でヨガをするグループを見つけると、●●は夢中で駆け寄った。ブラッシングしたての被毛が太陽を反射し、通行人が見惚れている。ブラッシングしたての被毛が太陽を反射し、通行人が見惚れている。賑やかな話し声が、遠くで聞こえている。</t>
    <phoneticPr fontId="3"/>
  </si>
  <si>
    <t>お洒落なカフェの店員さんを見つけると、●●は夢中で駆け寄った。電柱の匂いを熱心に嗅いで、そわそわと周囲を回り始めた。周囲の喧騒を一切無視し、あなたの合図だけに全神経を注いでいる。これからのコンテストに向けた自信に繋がる。</t>
    <phoneticPr fontId="3"/>
  </si>
  <si>
    <t>木の上から見下ろすカラスを見つけると、●●は夢中で駆け寄った。動くものすべてに反応して、尻尾をちぎれんばかりに振っている。段差の前で立ち止まり、少しだけ休憩したそうな目で見つめてきた。これからのコンテストに向けた自信に繋がる。</t>
    <phoneticPr fontId="3"/>
  </si>
  <si>
    <t>登校中の小学生たちを見つけると、●●は夢中で駆け寄った。動くものすべてに反応して、尻尾をちぎれんばかりに振っている。全身からエネルギーが溢れ、どんな障害物も軽々と乗り越えていく。静かな時間が、二人の間に流れていく。</t>
    <phoneticPr fontId="3"/>
  </si>
  <si>
    <t>波打ち際を走るサーファーを見つけると、●●は夢中で駆け寄った。動くものすべてに反応して、尻尾をちぎれんばかりに振っている。横断歩道の前で、指示される前にぴたっとお座りをして待機した。賑やかな話し声が、遠くで聞こえている。</t>
    <phoneticPr fontId="3"/>
  </si>
  <si>
    <t>ベンチで新聞を読むおじいさんを見つけると、●●は夢中で駆け寄った。大きな音に驚いて、鼻を鳴らしながらあなたの周りを飛び跳ねた。周囲の喧騒を一切無視し、あなたの合図だけに全神経を注いでいる。道行く人が思わず笑顔をこぼしている。</t>
    <phoneticPr fontId="3"/>
  </si>
  <si>
    <t>自転車に乗ったおじさんを見つけると、●●は夢中で駆け寄った。歩きながら大きなあくびをして、今にもその場で寝落ちしそうだ。全身からエネルギーが溢れ、どんな障害物も軽々と乗り越えていく。賑やかな話し声が、遠くで聞こえている。</t>
    <phoneticPr fontId="3"/>
  </si>
  <si>
    <t>散歩仲間のゴールデンレトリバーを見つけると、●●は夢中で駆け寄った。歩きながら大きなあくびをして、今にもその場で寝落ちしそうだ。誘惑の多い場所でも、あなたの歩幅に合わせて静かに歩き続けた。足元のアスファルトが、少しだけ温かい。</t>
    <phoneticPr fontId="3"/>
  </si>
  <si>
    <t>休憩中の登山グループを見つけると、●●は夢中で駆け寄った。歩きながら大きなあくびをして、今にもその場で寝落ちしそうだ。周囲の喧騒を一切無視し、あなたの合図だけに全神経を注いでいる。あなたは誇らしい気持ちでリードを握った。</t>
    <phoneticPr fontId="3"/>
  </si>
  <si>
    <t>信号待ちのジョギング中の女性を見つけると、●●は夢中で駆け寄った。ベンチの横で座り込み、まどろみながらあなたの指示を待っている。ブラッシングしたての被毛が太陽を反射し、通行人が見惚れている。これからのコンテストに向けた自信に繋がる。</t>
    <phoneticPr fontId="3"/>
  </si>
  <si>
    <t>すれ違う本格的なハイカーを見つけると、●●は夢中で駆け寄った。段差の前で立ち止まり、少しだけ休憩したそうな目で見つめてきた。獲物を狙うように一点を見つめ、微動だにせず状況を観察している。賑やかな話し声が、遠くで聞こえている。</t>
    <phoneticPr fontId="3"/>
  </si>
  <si>
    <t>散歩仲間のゴールデンレトリバーを見つけると、●●は夢中で駆け寄った。段差の前で立ち止まり、少しだけ休憩したそうな目で見つめてきた。複雑な分かれ道でも、以前通ったルートを正確に思い出して進んだ。道行く人が思わず笑顔をこぼしている。</t>
    <phoneticPr fontId="3"/>
  </si>
  <si>
    <t>空を旋回するカモメを見つけると、●●は夢中で駆け寄った。全身からエネルギーが溢れ、どんな障害物も軽々と乗り越えていく。横断歩道の前で、指示される前にぴたっとお座りをして待機した。これからのコンテストに向けた自信に繋がる。</t>
    <phoneticPr fontId="3"/>
  </si>
  <si>
    <t>信号待ちのジョギング中の女性を見つけると、●●は夢中で駆け寄った。誘惑の多い場所でも、あなたの歩幅に合わせて静かに歩き続けた。獲物を狙うように一点を見つめ、微動だにせず状況を観察している。周囲の空気までもが華やぐようだ。</t>
    <phoneticPr fontId="3"/>
  </si>
  <si>
    <t>自転車に乗ったおじさんを見つけると、●●は夢中で駆け寄った。風を切るような足取りで、あっという間に目的の角まで辿り着いた。四肢を堂々と踏み出し、完成された美しいシルエットを披露した。これからのコンテストに向けた自信に繋がる。</t>
    <phoneticPr fontId="3"/>
  </si>
  <si>
    <t>ベンチで新聞を読むおじいさんを見つけると、●●は夢中で駆け寄った。何キロも歩いた後でも、力強い足取りであなたをリードしている。四肢を堂々と踏み出し、完成された美しいシルエットを披露した。あなたは誇らしい気持ちでリードを握った。</t>
    <phoneticPr fontId="3"/>
  </si>
  <si>
    <t>登校中の小学生たちを見つけると、●●は夢中で駆け寄った。何キロも歩いた後でも、力強い足取りであなたをリードしている。複雑な分かれ道でも、以前通ったルートを正確に思い出して進んだ。これからのコンテストに向けた自信に繋がる。</t>
    <phoneticPr fontId="3"/>
  </si>
  <si>
    <t>波打ち際を走るサーファーを見つけると、●●は夢中で駆け寄った。周囲の喧騒を一切無視し、あなたの合図だけに全神経を注いでいる。ブラッシングしたての被毛が太陽を反射し、通行人が見惚れている。これからのコンテストに向けた自信に繋がる。</t>
    <phoneticPr fontId="3"/>
  </si>
  <si>
    <t>散歩仲間のゴールデンレトリバーを見つけると、●●は夢中で駆け寄った。周囲の喧騒を一切無視し、あなたの合図だけに全神経を注いでいる。仕掛けのある看板の仕組みを理解したようで、賢い振る舞いを見せた。足元のアスファルトが、少しだけ温かい。</t>
    <phoneticPr fontId="3"/>
  </si>
  <si>
    <t>自転車に乗ったおじさんを見つけると、●●は夢中で駆け寄った。獲物を狙うように一点を見つめ、微動だにせず状況を観察している。偶然出会ったプロのトレーナーに、特別なコツを教えてもらった。風が心地よく、耳元を通り抜けていった。</t>
    <phoneticPr fontId="3"/>
  </si>
  <si>
    <t>波打ち際を走るサーファーを見つけると、●●は夢中で駆け寄った。ブラッシングしたての被毛が太陽を反射し、通行人が見惚れている。四肢を堂々と踏み出し、完成された美しいシルエットを披露した。道行く人が思わず笑顔をこぼしている。</t>
    <phoneticPr fontId="3"/>
  </si>
  <si>
    <t>信号待ちのジョギング中の女性を見つけると、●●は夢中で駆け寄った。ブラッシングしたての被毛が太陽を反射し、通行人が見惚れている。仕掛けのある看板の仕組みを理解したようで、賢い振る舞いを見せた。あなたは誇らしい気持ちでリードを握った。</t>
    <phoneticPr fontId="3"/>
  </si>
  <si>
    <t>信号待ちのジョギング中の女性を見つけると、●●は夢中で駆け寄った。通行人の足元に顔を寄せ、愛くるしい仕草で撫でてとせがんだ。複雑な分かれ道でも、以前通ったルートを正確に思い出して進んだ。賑やかな話し声が、遠くで聞こえている。</t>
    <phoneticPr fontId="3"/>
  </si>
  <si>
    <t>自転車に乗ったおじさんに対しても、●●は堂々と振る舞っている。動くものすべてに反応して、尻尾をちぎれんばかりに振っている。ベンチの横で座り込み、まどろみながらあなたの指示を待っている。あなたは誇らしい気持ちでリードを握った。</t>
  </si>
  <si>
    <t>波打ち際を走るサーファーに対しても、●●は堂々と振る舞っている。大きな音に驚いて、鼻を鳴らしながらあなたの周りを飛び跳ねた。風を切るような足取りで、あっという間に目的の角まで辿り着いた。足元のアスファルトが、少しだけ温かい。</t>
  </si>
  <si>
    <t>信号待ちのジョギング中の女性に対しても、●●は堂々と振る舞っている。大きな音に驚いて、鼻を鳴らしながらあなたの周りを飛び跳ねた。茂みの奥から、誰かが落とした珍しいおもちゃを見つけ出した。足元のアスファルトが、少しだけ温かい。</t>
  </si>
  <si>
    <t>木の上から見下ろすカラスに対しても、●●は堂々と振る舞っている。何キロも歩いた後でも、力強い足取りであなたをリードしている。四肢を堂々と踏み出し、完成された美しいシルエットを披露した。あなたは誇らしい気持ちでリードを握った。</t>
  </si>
  <si>
    <t>ベンチで新聞を読むおじいさんに対しても、●●は堂々と振る舞っている。高い縁石にひらりと飛び乗り、抜群の身体能力を見せつけた。仕掛けのある看板の仕組みを理解したようで、賢い振る舞いを見せた。道行く人が思わず笑顔をこぼしている。</t>
  </si>
  <si>
    <t>すれ違う本格的なハイカーに対しても、●●は堂々と振る舞っている。背筋をピンと伸ばした姿勢で、まるでモデルのような風格で歩く。複雑な分かれ道でも、以前通ったルートを正確に思い出して進んだ。風が心地よく、耳元を通り抜けていった。</t>
  </si>
  <si>
    <t>木陰から顔を出すリスに対しても、●●は堂々と振る舞っている。動くものすべてに反応して、尻尾をちぎれんばかりに振っている。動くものすべてに反応して、尻尾をちぎれんばかりに振っている。これからのコンテストに向けた自信に繋がる。</t>
    <phoneticPr fontId="3"/>
  </si>
  <si>
    <t>お洒落なカフェの店員さんに対しても、●●は堂々と振る舞っている。段差の前で立ち止まり、少しだけ休憩したそうな目で見つめてきた。段差の前で立ち止まり、少しだけ休憩したそうな目で見つめてきた。足元のアスファルトが、少しだけ温かい。</t>
    <phoneticPr fontId="3"/>
  </si>
  <si>
    <t>芝生でヨガをするグループに対しても、●●は堂々と振る舞っている。ブラッシングしたての被毛が太陽を反射し、通行人が見惚れている。ブラッシングしたての被毛が太陽を反射し、通行人が見惚れている。賑やかな話し声が、遠くで聞こえている。</t>
    <phoneticPr fontId="3"/>
  </si>
  <si>
    <t>木の上から見下ろすカラスに対しても、●●は堂々と振る舞っている。複雑な分かれ道でも、以前通ったルートを正確に思い出して進んだ。仕掛けのある看板の仕組みを理解したようで、賢い振る舞いを見せた。周囲の空気までもが華やぐようだ。</t>
    <phoneticPr fontId="3"/>
  </si>
  <si>
    <t>木の上から見下ろすカラスに対しても、●●は堂々と振る舞っている。工事現場の砂埃を浴びて、全身が白っぽくなってしまった。大きな音に驚いて、鼻を鳴らしながらあなたの周りを飛び跳ねた。これからのコンテストに向けた自信に繋がる。</t>
    <phoneticPr fontId="3"/>
  </si>
  <si>
    <t>波打ち際を走るサーファーに対しても、●●は堂々と振る舞っている。水たまりにダイブして、お腹まで泥だらけになってしまった。ベンチの横で座り込み、まどろみながらあなたの指示を待っている。賑やかな話し声が、遠くで聞こえている。</t>
    <phoneticPr fontId="3"/>
  </si>
  <si>
    <t>散歩仲間のゴールデンレトリバーに対しても、●●は堂々と振る舞っている。電柱の匂いを熱心に嗅いで、そわそわと周囲を回り始めた。横断歩道の前で、指示される前にぴたっとお座りをして待機した。風が心地よく、耳元を通り抜けていった。</t>
    <phoneticPr fontId="3"/>
  </si>
  <si>
    <t>宅配便のトラックに対しても、●●は堂々と振る舞っている。茂みの奥深くに入り込み、じっと一点を見つめて動かなくなった。獲物を狙うように一点を見つめ、微動だにせず状況を観察している。これからのコンテストに向けた自信に繋がる。</t>
    <phoneticPr fontId="3"/>
  </si>
  <si>
    <t>自転車に乗ったおじさんに対しても、●●は堂々と振る舞っている。茂みの奥深くに入り込み、じっと一点を見つめて動かなくなった。背筋をピンと伸ばした姿勢で、まるでモデルのような風格で歩く。足元のアスファルトが、少しだけ温かい。</t>
    <phoneticPr fontId="3"/>
  </si>
  <si>
    <t>芝生でヨガをするグループに対しても、●●は堂々と振る舞っている。動くものすべてに反応して、尻尾をちぎれんばかりに振っている。舌を出し、いつもより歩調を落としてゆっくりと歩いている。これからのコンテストに向けた自信に繋がる。</t>
    <phoneticPr fontId="3"/>
  </si>
  <si>
    <t>信号待ちのジョギング中の女性に対しても、●●は堂々と振る舞っている。あなたの顔を何度も見上げ、足取り軽く並んで歩いている。横断歩道の前で、指示される前にぴたっとお座りをして待機した。あなたは誇らしい気持ちでリードを握った。</t>
    <phoneticPr fontId="3"/>
  </si>
  <si>
    <t>木の上から見下ろすカラスに対しても、●●は堂々と振る舞っている。撫でられて満足そうに目を細め、幸せそうな吐息をついた。偶然出会ったプロのトレーナーに、特別なコツを教えてもらった。これからのコンテストに向けた自信に繋がる。</t>
    <phoneticPr fontId="3"/>
  </si>
  <si>
    <t>ベンチで新聞を読むおじいさんに対しても、●●は堂々と振る舞っている。歩きながら大きなあくびをして、今にもその場で寝落ちしそうだ。段差の前で立ち止まり、少しだけ休憩したそうな目で見つめてきた。静かな時間が、二人の間に流れていく。</t>
    <phoneticPr fontId="3"/>
  </si>
  <si>
    <t>木の上から見下ろすカラスに対しても、●●は堂々と振る舞っている。歩きながら大きなあくびをして、今にもその場で寝落ちしそうだ。横断歩道の前で、指示される前にぴたっとお座りをして待機した。足元のアスファルトが、少しだけ温かい。</t>
    <phoneticPr fontId="3"/>
  </si>
  <si>
    <t>お洒落なカフェの店員さんに対しても、●●は堂々と振る舞っている。ベンチの横で座り込み、まどろみながらあなたの指示を待っている。誰にでも尻尾を振って近づき、すぐにその場の人気者になった。静かな時間が、二人の間に流れていく。</t>
    <phoneticPr fontId="3"/>
  </si>
  <si>
    <t>すれ違う本格的なハイカーに対しても、●●は堂々と振る舞っている。歩きながら大きなあくびをして、今にもその場で寝落ちしそうだ。仕掛けのある看板の仕組みを理解したようで、賢い振る舞いを見せた。足元のアスファルトが、少しだけ温かい。</t>
    <phoneticPr fontId="3"/>
  </si>
  <si>
    <t>空を旋回するカモメに対しても、●●は堂々と振る舞っている。段差の前で立ち止まり、少しだけ休憩したそうな目で見つめてきた。風を切るような足取りで、あっという間に目的の角まで辿り着いた。あなたは誇らしい気持ちでリードを握った。</t>
    <phoneticPr fontId="3"/>
  </si>
  <si>
    <t>すれ違う本格的なハイカーに対しても、●●は堂々と振る舞っている。舌を出し、いつもより歩調を落としてゆっくりと歩いている。獲物を狙うように一点を見つめ、微動だにせず状況を観察している。賑やかな話し声が、遠くで聞こえている。</t>
    <phoneticPr fontId="3"/>
  </si>
  <si>
    <t>波打ち際を走るサーファーに対しても、●●は堂々と振る舞っている。誘惑の多い場所でも、あなたの歩幅に合わせて静かに歩き続けた。何キロも歩いた後でも、力強い足取りであなたをリードしている。足元のアスファルトが、少しだけ温かい。</t>
    <phoneticPr fontId="3"/>
  </si>
  <si>
    <t>すれ違う本格的なハイカーに対しても、●●は堂々と振る舞っている。誘惑の多い場所でも、あなたの歩幅に合わせて静かに歩き続けた。通行人の足元に顔を寄せ、愛くるしい仕草で撫でてとせがんだ。あなたは誇らしい気持ちでリードを握った。</t>
    <phoneticPr fontId="3"/>
  </si>
  <si>
    <t>茂みの中で動くトカゲに対しても、●●は堂々と振る舞っている。横断歩道の前で、指示される前にぴたっとお座りをして待機した。四肢を堂々と踏み出し、完成された美しいシルエットを披露した。これからのコンテストに向けた自信に繋がる。</t>
    <phoneticPr fontId="3"/>
  </si>
  <si>
    <t>茂みの中で動くトカゲに対しても、●●は堂々と振る舞っている。誘惑の多い場所でも、あなたの歩幅に合わせて静かに歩き続けた。仕掛けのある看板の仕組みを理解したようで、賢い振る舞いを見せた。静かな時間が、二人の間に流れていく。</t>
    <phoneticPr fontId="3"/>
  </si>
  <si>
    <t>砂浜で穴を掘る小さなカニに対しても、●●は堂々と振る舞っている。風を切るような足取りで、あっという間に目的の角まで辿り着いた。茂みの奥から、誰かが落とした珍しいおもちゃを見つけ出した。賑やかな話し声が、遠くで聞こえている。</t>
    <phoneticPr fontId="3"/>
  </si>
  <si>
    <t>ベンチで新聞を読むおじいさんに対しても、●●は堂々と振る舞っている。何キロも歩いた後でも、力強い足取りであなたをリードしている。茂みの奥から、誰かが落とした珍しいおもちゃを見つけ出した。静かな時間が、二人の間に流れていく。</t>
    <phoneticPr fontId="3"/>
  </si>
  <si>
    <t>波打ち際を走るサーファーに対しても、●●は堂々と振る舞っている。獲物を狙うように一点を見つめ、微動だにせず状況を観察している。風に吹かれて毛が美しく流れ、周囲の目を釘付けにした。これからのコンテストに向けた自信に繋がる。</t>
    <phoneticPr fontId="3"/>
  </si>
  <si>
    <t>釣りをしているお兄さんに対しても、●●は堂々と振る舞っている。周囲の喧騒を一切無視し、あなたの合図だけに全神経を注いでいる。背筋をピンと伸ばした姿勢で、まるでモデルのような風格で歩く。賑やかな話し声が、遠くで聞こえている。</t>
    <phoneticPr fontId="3"/>
  </si>
  <si>
    <t>自転車に乗ったおじさんに対しても、●●は堂々と振る舞っている。通行人の足元に顔を寄せ、愛くるしい仕草で撫でてとせがんだ。仕掛けのある看板の仕組みを理解したようで、賢い振る舞いを見せた。賑やかな話し声が、遠くで聞こえている。</t>
    <phoneticPr fontId="3"/>
  </si>
  <si>
    <t>木の上から見下ろすカラスを優しく見守るように、●●は足を止めた。足元に落ちている木の実を、食べ物だと思って口に入れようとした。お腹の音が鳴り、誰かが食べているお弁当の匂いを必死に嗅いでいる。周囲の空気までもが華やぐようだ。</t>
  </si>
  <si>
    <t>鳩の群れを優しく見守るように、●●は足を止めた。水たまりにダイブして、お腹まで泥だらけになってしまった。工事現場の砂埃を浴びて、全身が白っぽくなってしまった。道行く人が思わず笑顔をこぼしている。</t>
  </si>
  <si>
    <t>店先の招き猫を優しく見守るように、●●は足を止めた。茂みの奥深くに入り込み、じっと一点を見つめて動かなくなった。電柱の匂いを熱心に嗅いで、そわそわと周囲を回り始めた。あなたは誇らしい気持ちでリードを握った。</t>
  </si>
  <si>
    <t>道端の野イチゴを優しく見守るように、●●は足を止めた。大きな音に驚いて、鼻を鳴らしながらあなたの周りを飛び跳ねた。大きな音に驚いて、鼻を鳴らしながらあなたの周りを飛び跳ねた。これからのコンテストに向けた自信に繋がる。</t>
  </si>
  <si>
    <t>休憩中の登山グループを優しく見守るように、●●は足を止めた。あなたの顔を何度も見上げ、足取り軽く並んで歩いている。撫でられて満足そうに目を細め、幸せそうな吐息をついた。静かな時間が、二人の間に流れていく。</t>
  </si>
  <si>
    <t>宅配便のトラックを優しく見守るように、●●は足を止めた。ベンチの横で座り込み、まどろみながらあなたの指示を待っている。歩きながら大きなあくびをして、今にもその場で寝落ちしそうだ。賑やかな話し声が、遠くで聞こえている。</t>
  </si>
  <si>
    <t>登校中の小学生たちを優しく見守るように、●●は足を止めた。段差の前で立ち止まり、少しだけ休憩したそうな目で見つめてきた。舌を出し、いつもより歩調を落としてゆっくりと歩いている。足元のアスファルトが、少しだけ温かい。</t>
  </si>
  <si>
    <t>ベンチで新聞を読むおじいさんを優しく見守るように、●●は足を止めた。道行く人を次々と誘うように、活発に動き回っている。全身からエネルギーが溢れ、どんな障害物も軽々と乗り越えていく。風が心地よく、耳元を通り抜けていった。</t>
  </si>
  <si>
    <t>釣りをしているお兄さんを優しく見守るように、●●は足を止めた。誘惑の多い場所でも、あなたの歩幅に合わせて静かに歩き続けた。横断歩道の前で、指示される前にぴたっとお座りをして待機した。周囲の空気までもが華やぐようだ。</t>
  </si>
  <si>
    <t>木陰から顔を出すリスを優しく見守るように、●●は足を止めた。一瞬の隙も見せず、素早い身のこなしで周囲を驚かせた。風を切るような足取りで、あっという間に目的の角まで辿り着いた。道行く人が思わず笑顔をこぼしている。</t>
  </si>
  <si>
    <t>散歩中のチワワを優しく見守るように、●●は足を止めた。長い階段を上りきっても、呼吸を乱すことなく余裕の表情だ。長い階段を上りきっても、呼吸を乱すことなく余裕の表情だ。あなたは誇らしい気持ちでリードを握った。</t>
  </si>
  <si>
    <t>鳴いているセミを優しく見守るように、●●は足を止めた。足元の溝を驚異的な跳躍で飛び越え、着地も見事に決めた。足元の溝を驚異的な跳躍で飛び越え、着地も見事に決めた。これからのコンテストに向けた自信に繋がる。</t>
  </si>
  <si>
    <t>ベンチで新聞を読むおじいさんを優しく見守るように、●●は足を止めた。風に吹かれて毛が美しく流れ、周囲の目を釘付けにした。ブラッシングしたての被毛が太陽を反射し、通行人が見惚れている。賑やかな話し声が、遠くで聞こえている。</t>
  </si>
  <si>
    <t>道端の野イチゴを優しく見守るように、●●は足を止めた。通行人の足元に顔を寄せ、愛くるしい仕草で撫でてとせがんだ。通行人の足元に顔を寄せ、愛くるしい仕草で撫でてとせがんだ。足元のアスファルトが、少しだけ温かい。</t>
  </si>
  <si>
    <t>休憩中の登山グループを優しく見守るように、●●は足を止めた。背筋をピンと伸ばした姿勢で、まるでモデルのような風格で歩く。四肢を堂々と踏み出し、完成された美しいシルエットを披露した。風が心地よく、耳元を通り抜けていった。</t>
  </si>
  <si>
    <t>お洒落なカフェの店員さんを優しく見守るように、●●は足を止めた。偶然出会ったプロのトレーナーに、特別なコツを教えてもらった。茂みの奥から、誰かが落とした珍しいおもちゃを見つけ出した。道行く人が思わず笑顔をこぼしている。</t>
  </si>
  <si>
    <t>お洒落なカフェの店員さんを優しく見守るように、●●は足を止めた。水たまりにダイブして、お腹まで泥だらけになってしまった。茂みの奥深くに入り込み、じっと一点を見つめて動かなくなった。あなたは誇らしい気持ちでリードを握った。</t>
  </si>
  <si>
    <t>鳩の群れを優しく見守るように、●●は足を止めた。工事現場の砂埃を浴びて、全身が白っぽくなってしまった。動くものすべてに反応して、尻尾をちぎれんばかりに振っている。これからのコンテストに向けた自信に繋がる。</t>
  </si>
  <si>
    <t>信号待ちのジョギング中の女性を優しく見守るように、●●は足を止めた。水たまりにダイブして、お腹まで泥だらけになってしまった。あなたの顔を何度も見上げ、足取り軽く並んで歩いている。静かな時間が、二人の間に流れていく。</t>
  </si>
  <si>
    <t>空を旋回するカモメを優しく見守るように、●●は足を止めた。工事現場の砂埃を浴びて、全身が白っぽくなってしまった。ベンチの横で座り込み、まどろみながらあなたの指示を待っている。賑やかな話し声が、遠くで聞こえている。</t>
  </si>
  <si>
    <t>茂みの中で動くトカゲを優しく見守るように、●●は足を止めた。工事現場の砂埃を浴びて、全身が白っぽくなってしまった。段差の前で立ち止まり、少しだけ休憩したそうな目で見つめてきた。足元のアスファルトが、少しだけ温かい。</t>
  </si>
  <si>
    <t>木陰から顔を出すリスを優しく見守るように、●●は足を止めた。水たまりにダイブして、お腹まで泥だらけになってしまった。全身からエネルギーが溢れ、どんな障害物も軽々と乗り越えていく。風が心地よく、耳元を通り抜けていった。</t>
  </si>
  <si>
    <t>空を旋回するカモメを優しく見守るように、●●は足を止めた。水たまりにダイブして、お腹まで泥だらけになってしまった。誘惑の多い場所でも、あなたの歩幅に合わせて静かに歩き続けた。周囲の空気までもが華やぐようだ。</t>
  </si>
  <si>
    <t>噴水で遊ぶ子供たちを優しく見守るように、●●は足を止めた。工事現場の砂埃を浴びて、全身が白っぽくなってしまった。風を切るような足取りで、あっという間に目的の角まで辿り着いた。道行く人が思わず笑顔をこぼしている。</t>
  </si>
  <si>
    <t>波打ち際を走るサーファーを優しく見守るように、●●は足を止めた。工事現場の砂埃を浴びて、全身が白っぽくなってしまった。何キロも歩いた後でも、力強い足取りであなたをリードしている。あなたは誇らしい気持ちでリードを握った。</t>
  </si>
  <si>
    <t>散歩中のチワワを優しく見守るように、●●は足を止めた。水たまりにダイブして、お腹まで泥だらけになってしまった。高い縁石にひらりと飛び乗り、抜群の身体能力を見せつけた。これからのコンテストに向けた自信に繋がる。</t>
  </si>
  <si>
    <t>木陰から顔を出すリスを優しく見守るように、●●は足を止めた。工事現場の砂埃を浴びて、全身が白っぽくなってしまった。獲物を狙うように一点を見つめ、微動だにせず状況を観察している。静かな時間が、二人の間に流れていく。</t>
  </si>
  <si>
    <t>波打ち際を走るサーファーを優しく見守るように、●●は足を止めた。水たまりにダイブして、お腹まで泥だらけになってしまった。風に吹かれて毛が美しく流れ、周囲の目を釘付けにした。賑やかな話し声が、遠くで聞こえている。</t>
  </si>
  <si>
    <t>波打ち際を走るサーファーを優しく見守るように、●●は足を止めた。工事現場の砂埃を浴びて、全身が白っぽくなってしまった。誰にでも尻尾を振って近づき、すぐにその場の人気者になった。足元のアスファルトが、少しだけ温かい。</t>
  </si>
  <si>
    <t>空を旋回するカモメを優しく見守るように、●●は足を止めた。工事現場の砂埃を浴びて、全身が白っぽくなってしまった。四肢を堂々と踏み出し、完成された美しいシルエットを披露した。風が心地よく、耳元を通り抜けていった。</t>
  </si>
  <si>
    <t>鳩の群れを優しく見守るように、●●は足を止めた。工事現場の砂埃を浴びて、全身が白っぽくなってしまった。仕掛けのある看板の仕組みを理解したようで、賢い振る舞いを見せた。周囲の空気までもが華やぐようだ。</t>
  </si>
  <si>
    <t>ベンチで新聞を読むおじいさんを優しく見守るように、●●は足を止めた。工事現場の砂埃を浴びて、全身が白っぽくなってしまった。茂みの奥から、誰かが落とした珍しいおもちゃを見つけ出した。道行く人が思わず笑顔をこぼしている。</t>
  </si>
  <si>
    <t>休憩中の登山グループを優しく見守るように、●●は足を止めた。電柱の匂いを熱心に嗅いで、そわそわと周囲を回り始めた。撫でられて満足そうに目を細め、幸せそうな吐息をついた。これからのコンテストに向けた自信に繋がる。</t>
  </si>
  <si>
    <t>砂浜で穴を掘る小さなカニを優しく見守るように、●●は足を止めた。電柱の匂いを熱心に嗅いで、そわそわと周囲を回り始めた。歩きながら大きなあくびをして、今にもその場で寝落ちしそうだ。静かな時間が、二人の間に流れていく。</t>
  </si>
  <si>
    <t>鳩の群れを優しく見守るように、●●は足を止めた。茂みの奥深くに入り込み、じっと一点を見つめて動かなくなった。道行く人を次々と誘うように、活発に動き回っている。足元のアスファルトが、少しだけ温かい。</t>
  </si>
  <si>
    <t>木の上から見下ろすカラスを優しく見守るように、●●は足を止めた。電柱の匂いを熱心に嗅いで、そわそわと周囲を回り始めた。誘惑の多い場所でも、あなたの歩幅に合わせて静かに歩き続けた。風が心地よく、耳元を通り抜けていった。</t>
  </si>
  <si>
    <t>茂みの中で動くトカゲを優しく見守るように、●●は足を止めた。電柱の匂いを熱心に嗅いで、そわそわと周囲を回り始めた。風を切るような足取りで、あっという間に目的の角まで辿り着いた。周囲の空気までもが華やぐようだ。</t>
  </si>
  <si>
    <t>自転車に乗ったおじさんを優しく見守るように、●●は足を止めた。電柱の匂いを熱心に嗅いで、そわそわと周囲を回り始めた。長い階段を上りきっても、呼吸を乱すことなく余裕の表情だ。道行く人が思わず笑顔をこぼしている。</t>
  </si>
  <si>
    <t>登校中の小学生たちを優しく見守るように、●●は足を止めた。茂みの奥深くに入り込み、じっと一点を見つめて動かなくなった。足元の溝を驚異的な跳躍で飛び越え、着地も見事に決めた。あなたは誇らしい気持ちでリードを握った。</t>
  </si>
  <si>
    <t>鳴いているセミを優しく見守るように、●●は足を止めた。茂みの奥深くに入り込み、じっと一点を見つめて動かなくなった。ブラッシングしたての被毛が太陽を反射し、通行人が見惚れている。静かな時間が、二人の間に流れていく。</t>
  </si>
  <si>
    <t>鳩の群れを優しく見守るように、●●は足を止めた。茂みの奥深くに入り込み、じっと一点を見つめて動かなくなった。通行人の足元に顔を寄せ、愛くるしい仕草で撫でてとせがんだ。賑やかな話し声が、遠くで聞こえている。</t>
  </si>
  <si>
    <t>宅配便のトラックを優しく見守るように、●●は足を止めた。電柱の匂いを熱心に嗅いで、そわそわと周囲を回り始めた。背筋をピンと伸ばした姿勢で、まるでモデルのような風格で歩く。足元のアスファルトが、少しだけ温かい。</t>
  </si>
  <si>
    <t>登校中の小学生たちを優しく見守るように、●●は足を止めた。茂みの奥深くに入り込み、じっと一点を見つめて動かなくなった。複雑な分かれ道でも、以前通ったルートを正確に思い出して進んだ。風が心地よく、耳元を通り抜けていった。</t>
  </si>
  <si>
    <t>空を旋回するカモメを優しく見守るように、●●は足を止めた。茂みの奥深くに入り込み、じっと一点を見つめて動かなくなった。茂みの奥から、誰かが落とした珍しいおもちゃを見つけ出した。周囲の空気までもが華やぐようだ。</t>
  </si>
  <si>
    <t>すれ違う本格的なハイカーを優しく見守るように、●●は足を止めた。動くものすべてに反応して、尻尾をちぎれんばかりに振っている。撫でられて満足そうに目を細め、幸せそうな吐息をついた。道行く人が思わず笑顔をこぼしている。</t>
  </si>
  <si>
    <t>自転車に乗ったおじさんを優しく見守るように、●●は足を止めた。大きな音に驚いて、鼻を鳴らしながらあなたの周りを飛び跳ねた。歩きながら大きなあくびをして、今にもその場で寝落ちしそうだ。あなたは誇らしい気持ちでリードを握った。</t>
  </si>
  <si>
    <t>店先の招き猫を優しく見守るように、●●は足を止めた。大きな音に驚いて、鼻を鳴らしながらあなたの周りを飛び跳ねた。全身からエネルギーが溢れ、どんな障害物も軽々と乗り越えていく。静かな時間が、二人の間に流れていく。</t>
  </si>
  <si>
    <t>流木を優しく見守るように、●●は足を止めた。大きな音に驚いて、鼻を鳴らしながらあなたの周りを飛び跳ねた。横断歩道の前で、指示される前にぴたっとお座りをして待機した。賑やかな話し声が、遠くで聞こえている。</t>
  </si>
  <si>
    <t>散歩中のチワワを優しく見守るように、●●は足を止めた。大きな音に驚いて、鼻を鳴らしながらあなたの周りを飛び跳ねた。一瞬の隙も見せず、素早い身のこなしで周囲を驚かせた。足元のアスファルトが、少しだけ温かい。</t>
  </si>
  <si>
    <t>宅配便のトラックを優しく見守るように、●●は足を止めた。大きな音に驚いて、鼻を鳴らしながらあなたの周りを飛び跳ねた。長い階段を上りきっても、呼吸を乱すことなく余裕の表情だ。風が心地よく、耳元を通り抜けていった。</t>
  </si>
  <si>
    <t>道端の野イチゴを優しく見守るように、●●は足を止めた。大きな音に驚いて、鼻を鳴らしながらあなたの周りを飛び跳ねた。高い縁石にひらりと飛び乗り、抜群の身体能力を見せつけた。周囲の空気までもが華やぐようだ。</t>
  </si>
  <si>
    <t>噴水で遊ぶ子供たちを優しく見守るように、●●は足を止めた。動くものすべてに反応して、尻尾をちぎれんばかりに振っている。周囲の喧騒を一切無視し、あなたの合図だけに全神経を注いでいる。道行く人が思わず笑顔をこぼしている。</t>
  </si>
  <si>
    <t>宅配便のトラックを優しく見守るように、●●は足を止めた。動くものすべてに反応して、尻尾をちぎれんばかりに振っている。ブラッシングしたての被毛が太陽を反射し、通行人が見惚れている。あなたは誇らしい気持ちでリードを握った。</t>
  </si>
  <si>
    <t>宅配便のトラックを優しく見守るように、●●は足を止めた。大きな音に驚いて、鼻を鳴らしながらあなたの周りを飛び跳ねた。背筋をピンと伸ばした姿勢で、まるでモデルのような風格で歩く。静かな時間が、二人の間に流れていく。</t>
  </si>
  <si>
    <t>店先の招き猫を優しく見守るように、●●は足を止めた。大きな音に驚いて、鼻を鳴らしながらあなたの周りを飛び跳ねた。茂みの奥から、誰かが落とした珍しいおもちゃを見つけ出した。足元のアスファルトが、少しだけ温かい。</t>
  </si>
  <si>
    <t>鳴いているセミを優しく見守るように、●●は足を止めた。撫でられて満足そうに目を細め、幸せそうな吐息をついた。歩きながら大きなあくびをして、今にもその場で寝落ちしそうだ。風が心地よく、耳元を通り抜けていった。</t>
  </si>
  <si>
    <t>砂浜で穴を掘る小さなカニを優しく見守るように、●●は足を止めた。あなたの顔を何度も見上げ、足取り軽く並んで歩いている。段差の前で立ち止まり、少しだけ休憩したそうな目で見つめてきた。周囲の空気までもが華やぐようだ。</t>
  </si>
  <si>
    <t>店先の招き猫を優しく見守るように、●●は足を止めた。撫でられて満足そうに目を細め、幸せそうな吐息をついた。道行く人を次々と誘うように、活発に動き回っている。道行く人が思わず笑顔をこぼしている。</t>
  </si>
  <si>
    <t>宅配便のトラックを優しく見守るように、●●は足を止めた。あなたの顔を何度も見上げ、足取り軽く並んで歩いている。横断歩道の前で、指示される前にぴたっとお座りをして待機した。あなたは誇らしい気持ちでリードを握った。</t>
  </si>
  <si>
    <t>釣りをしているお兄さんを優しく見守るように、●●は足を止めた。あなたの顔を何度も見上げ、足取り軽く並んで歩いている。風を切るような足取りで、あっという間に目的の角まで辿り着いた。これからのコンテストに向けた自信に繋がる。</t>
  </si>
  <si>
    <t>散歩中のチワワを優しく見守るように、●●は足を止めた。撫でられて満足そうに目を細め、幸せそうな吐息をついた。長い階段を上りきっても、呼吸を乱すことなく余裕の表情だ。静かな時間が、二人の間に流れていく。</t>
  </si>
  <si>
    <t>流木を優しく見守るように、●●は足を止めた。撫でられて満足そうに目を細め、幸せそうな吐息をついた。高い縁石にひらりと飛び乗り、抜群の身体能力を見せつけた。賑やかな話し声が、遠くで聞こえている。</t>
  </si>
  <si>
    <t>砂浜で穴を掘る小さなカニを優しく見守るように、●●は足を止めた。撫でられて満足そうに目を細め、幸せそうな吐息をついた。周囲の喧騒を一切無視し、あなたの合図だけに全神経を注いでいる。足元のアスファルトが、少しだけ温かい。</t>
  </si>
  <si>
    <t>木陰から顔を出すリスを優しく見守るように、●●は足を止めた。撫でられて満足そうに目を細め、幸せそうな吐息をついた。ブラッシングしたての被毛が太陽を反射し、通行人が見惚れている。風が心地よく、耳元を通り抜けていった。</t>
  </si>
  <si>
    <t>休憩中の登山グループを優しく見守るように、●●は足を止めた。あなたの顔を何度も見上げ、足取り軽く並んで歩いている。誰にでも尻尾を振って近づき、すぐにその場の人気者になった。周囲の空気までもが華やぐようだ。</t>
  </si>
  <si>
    <t>道端の野イチゴを優しく見守るように、●●は足を止めた。あなたの顔を何度も見上げ、足取り軽く並んで歩いている。四肢を堂々と踏み出し、完成された美しいシルエットを披露した。道行く人が思わず笑顔をこぼしている。</t>
  </si>
  <si>
    <t>休憩中の登山グループを優しく見守るように、●●は足を止めた。撫でられて満足そうに目を細め、幸せそうな吐息をついた。複雑な分かれ道でも、以前通ったルートを正確に思い出して進んだ。あなたは誇らしい気持ちでリードを握った。</t>
  </si>
  <si>
    <t>鳩の群れを優しく見守るように、●●は足を止めた。歩きながら大きなあくびをして、今にもその場で寝落ちしそうだ。舌を出し、いつもより歩調を落としてゆっくりと歩いている。静かな時間が、二人の間に流れていく。</t>
  </si>
  <si>
    <t>自転車に乗ったおじさんを優しく見守るように、●●は足を止めた。歩きながら大きなあくびをして、今にもその場で寝落ちしそうだ。全身からエネルギーが溢れ、どんな障害物も軽々と乗り越えていく。賑やかな話し声が、遠くで聞こえている。</t>
  </si>
  <si>
    <t>砂浜で穴を掘る小さなカニを優しく見守るように、●●は足を止めた。歩きながら大きなあくびをして、今にもその場で寝落ちしそうだ。一瞬の隙も見せず、素早い身のこなしで周囲を驚かせた。風が心地よく、耳元を通り抜けていった。</t>
  </si>
  <si>
    <t>登校中の小学生たちを優しく見守るように、●●は足を止めた。歩きながら大きなあくびをして、今にもその場で寝落ちしそうだ。長い階段を上りきっても、呼吸を乱すことなく余裕の表情だ。周囲の空気までもが華やぐようだ。</t>
  </si>
  <si>
    <t>芝生でヨガをするグループを優しく見守るように、●●は足を止めた。歩きながら大きなあくびをして、今にもその場で寝落ちしそうだ。高い縁石にひらりと飛び乗り、抜群の身体能力を見せつけた。道行く人が思わず笑顔をこぼしている。</t>
  </si>
  <si>
    <t>お洒落なカフェの店員さんを優しく見守るように、●●は足を止めた。歩きながら大きなあくびをして、今にもその場で寝落ちしそうだ。通行人の足元に顔を寄せ、愛くるしい仕草で撫でてとせがんだ。静かな時間が、二人の間に流れていく。</t>
  </si>
  <si>
    <t>空を旋回するカモメを優しく見守るように、●●は足を止めた。ベンチの横で座り込み、まどろみながらあなたの指示を待っている。四肢を堂々と踏み出し、完成された美しいシルエットを披露した。賑やかな話し声が、遠くで聞こえている。</t>
  </si>
  <si>
    <t>木陰から顔を出すリスを優しく見守るように、●●は足を止めた。歩きながら大きなあくびをして、今にもその場で寝落ちしそうだ。複雑な分かれ道でも、以前通ったルートを正確に思い出して進んだ。足元のアスファルトが、少しだけ温かい。</t>
  </si>
  <si>
    <t>釣りをしているお兄さんを優しく見守るように、●●は足を止めた。ベンチの横で座り込み、まどろみながらあなたの指示を待っている。偶然出会ったプロのトレーナーに、特別なコツを教えてもらった。風が心地よく、耳元を通り抜けていった。</t>
  </si>
  <si>
    <t>すれ違う本格的なハイカーを優しく見守るように、●●は足を止めた。舌を出し、いつもより歩調を落としてゆっくりと歩いている。全身からエネルギーが溢れ、どんな障害物も軽々と乗り越えていく。周囲の空気までもが華やぐようだ。</t>
  </si>
  <si>
    <t>店先の招き猫を優しく見守るように、●●は足を止めた。段差の前で立ち止まり、少しだけ休憩したそうな目で見つめてきた。誘惑の多い場所でも、あなたの歩幅に合わせて静かに歩き続けた。道行く人が思わず笑顔をこぼしている。</t>
  </si>
  <si>
    <t>流木を優しく見守るように、●●は足を止めた。舌を出し、いつもより歩調を落としてゆっくりと歩いている。風を切るような足取りで、あっという間に目的の角まで辿り着いた。あなたは誇らしい気持ちでリードを握った。</t>
  </si>
  <si>
    <t>自転車に乗ったおじさんを優しく見守るように、●●は足を止めた。舌を出し、いつもより歩調を落としてゆっくりと歩いている。長い階段を上りきっても、呼吸を乱すことなく余裕の表情だ。これからのコンテストに向けた自信に繋がる。</t>
  </si>
  <si>
    <t>空を旋回するカモメを優しく見守るように、●●は足を止めた。段差の前で立ち止まり、少しだけ休憩したそうな目で見つめてきた。足元の溝を驚異的な跳躍で飛び越え、着地も見事に決めた。静かな時間が、二人の間に流れていく。</t>
  </si>
  <si>
    <t>道端の野イチゴを優しく見守るように、●●は足を止めた。段差の前で立ち止まり、少しだけ休憩したそうな目で見つめてきた。獲物を狙うように一点を見つめ、微動だにせず状況を観察している。賑やかな話し声が、遠くで聞こえている。</t>
  </si>
  <si>
    <t>鳩の群れを優しく見守るように、●●は足を止めた。舌を出し、いつもより歩調を落としてゆっくりと歩いている。ブラッシングしたての被毛が太陽を反射し、通行人が見惚れている。足元のアスファルトが、少しだけ温かい。</t>
  </si>
  <si>
    <t>空を旋回するカモメを優しく見守るように、●●は足を止めた。舌を出し、いつもより歩調を落としてゆっくりと歩いている。通行人の足元に顔を寄せ、愛くるしい仕草で撫でてとせがんだ。風が心地よく、耳元を通り抜けていった。</t>
  </si>
  <si>
    <t>すれ違う本格的なハイカーを優しく見守るように、●●は足を止めた。舌を出し、いつもより歩調を落としてゆっくりと歩いている。四肢を堂々と踏み出し、完成された美しいシルエットを披露した。周囲の空気までもが華やぐようだ。</t>
  </si>
  <si>
    <t>波打ち際を走るサーファーを優しく見守るように、●●は足を止めた。道行く人を次々と誘うように、活発に動き回っている。誘惑の多い場所でも、あなたの歩幅に合わせて静かに歩き続けた。これからのコンテストに向けた自信に繋がる。</t>
  </si>
  <si>
    <t>木の上から見下ろすカラスを優しく見守るように、●●は足を止めた。全身からエネルギーが溢れ、どんな障害物も軽々と乗り越えていく。長い階段を上りきっても、呼吸を乱すことなく余裕の表情だ。賑やかな話し声が、遠くで聞こえている。</t>
  </si>
  <si>
    <t>木の上から見下ろすカラスを優しく見守るように、●●は足を止めた。全身からエネルギーが溢れ、どんな障害物も軽々と乗り越えていく。高い縁石にひらりと飛び乗り、抜群の身体能力を見せつけた。足元のアスファルトが、少しだけ温かい。</t>
  </si>
  <si>
    <t>木の上から見下ろすカラスを優しく見守るように、●●は足を止めた。道行く人を次々と誘うように、活発に動き回っている。獲物を狙うように一点を見つめ、微動だにせず状況を観察している。風が心地よく、耳元を通り抜けていった。</t>
  </si>
  <si>
    <t>宅配便のトラックを優しく見守るように、●●は足を止めた。道行く人を次々と誘うように、活発に動き回っている。ブラッシングしたての被毛が太陽を反射し、通行人が見惚れている。周囲の空気までもが華やぐようだ。</t>
  </si>
  <si>
    <t>店先の招き猫を優しく見守るように、●●は足を止めた。全身からエネルギーが溢れ、どんな障害物も軽々と乗り越えていく。通行人の足元に顔を寄せ、愛くるしい仕草で撫でてとせがんだ。道行く人が思わず笑顔をこぼしている。</t>
  </si>
  <si>
    <t>お洒落なカフェの店員さんを優しく見守るように、●●は足を止めた。道行く人を次々と誘うように、活発に動き回っている。背筋をピンと伸ばした姿勢で、まるでモデルのような風格で歩く。あなたは誇らしい気持ちでリードを握った。</t>
  </si>
  <si>
    <t>すれ違う本格的なハイカーを優しく見守るように、●●は足を止めた。道行く人を次々と誘うように、活発に動き回っている。仕掛けのある看板の仕組みを理解したようで、賢い振る舞いを見せた。これからのコンテストに向けた自信に繋がる。</t>
  </si>
  <si>
    <t>木陰から顔を出すリスを優しく見守るように、●●は足を止めた。全身からエネルギーが溢れ、どんな障害物も軽々と乗り越えていく。偶然出会ったプロのトレーナーに、特別なコツを教えてもらった。静かな時間が、二人の間に流れていく。</t>
  </si>
  <si>
    <t>茂みの中で動くトカゲを優しく見守るように、●●は足を止めた。誘惑の多い場所でも、あなたの歩幅に合わせて静かに歩き続けた。風を切るような足取りで、あっという間に目的の角まで辿り着いた。賑やかな話し声が、遠くで聞こえている。</t>
  </si>
  <si>
    <t>砂浜で穴を掘る小さなカニを優しく見守るように、●●は足を止めた。誘惑の多い場所でも、あなたの歩幅に合わせて静かに歩き続けた。何キロも歩いた後でも、力強い足取りであなたをリードしている。足元のアスファルトが、少しだけ温かい。</t>
  </si>
  <si>
    <t>波打ち際を走るサーファーを優しく見守るように、●●は足を止めた。誘惑の多い場所でも、あなたの歩幅に合わせて静かに歩き続けた。足元の溝を驚異的な跳躍で飛び越え、着地も見事に決めた。風が心地よく、耳元を通り抜けていった。</t>
  </si>
  <si>
    <t>宅配便のトラックを優しく見守るように、●●は足を止めた。横断歩道の前で、指示される前にぴたっとお座りをして待機した。獲物を狙うように一点を見つめ、微動だにせず状況を観察している。周囲の空気までもが華やぐようだ。</t>
  </si>
  <si>
    <t>噴水で遊ぶ子供たちを優しく見守るように、●●は足を止めた。横断歩道の前で、指示される前にぴたっとお座りをして待機した。ブラッシングしたての被毛が太陽を反射し、通行人が見惚れている。道行く人が思わず笑顔をこぼしている。</t>
  </si>
  <si>
    <t>休憩中の登山グループを優しく見守るように、●●は足を止めた。横断歩道の前で、指示される前にぴたっとお座りをして待機した。通行人の足元に顔を寄せ、愛くるしい仕草で撫でてとせがんだ。あなたは誇らしい気持ちでリードを握った。</t>
  </si>
  <si>
    <t>鳴いているセミを優しく見守るように、●●は足を止めた。誘惑の多い場所でも、あなたの歩幅に合わせて静かに歩き続けた。四肢を堂々と踏み出し、完成された美しいシルエットを披露した。これからのコンテストに向けた自信に繋がる。</t>
  </si>
  <si>
    <t>茂みの中で動くトカゲを優しく見守るように、●●は足を止めた。誘惑の多い場所でも、あなたの歩幅に合わせて静かに歩き続けた。複雑な分かれ道でも、以前通ったルートを正確に思い出して進んだ。静かな時間が、二人の間に流れていく。</t>
  </si>
  <si>
    <t>木陰から顔を出すリスを優しく見守るように、●●は足を止めた。誘惑の多い場所でも、あなたの歩幅に合わせて静かに歩き続けた。茂みの奥から、誰かが落とした珍しいおもちゃを見つけ出した。賑やかな話し声が、遠くで聞こえている。</t>
  </si>
  <si>
    <t>茂みの中で動くトカゲを優しく見守るように、●●は足を止めた。風を切るような足取りで、あっという間に目的の角まで辿り着いた。長い階段を上りきっても、呼吸を乱すことなく余裕の表情だ。足元のアスファルトが、少しだけ温かい。</t>
  </si>
  <si>
    <t>ベンチで新聞を読むおじいさんを優しく見守るように、●●は足を止めた。一瞬の隙も見せず、素早い身のこなしで周囲を驚かせた。高い縁石にひらりと飛び乗り、抜群の身体能力を見せつけた。風が心地よく、耳元を通り抜けていった。</t>
  </si>
  <si>
    <t>流木を優しく見守るように、●●は足を止めた。風を切るような足取りで、あっという間に目的の角まで辿り着いた。周囲の喧騒を一切無視し、あなたの合図だけに全神経を注いでいる。周囲の空気までもが華やぐようだ。</t>
  </si>
  <si>
    <t>鳴いているセミを優しく見守るように、●●は足を止めた。風を切るような足取りで、あっという間に目的の角まで辿り着いた。風に吹かれて毛が美しく流れ、周囲の目を釘付けにした。道行く人が思わず笑顔をこぼしている。</t>
  </si>
  <si>
    <t>木陰から顔を出すリスを優しく見守るように、●●は足を止めた。風を切るような足取りで、あっという間に目的の角まで辿り着いた。誰にでも尻尾を振って近づき、すぐにその場の人気者になった。あなたは誇らしい気持ちでリードを握った。</t>
  </si>
  <si>
    <t>道端の野イチゴを優しく見守るように、●●は足を止めた。一瞬の隙も見せず、素早い身のこなしで周囲を驚かせた。仕掛けのある看板の仕組みを理解したようで、賢い振る舞いを見せた。静かな時間が、二人の間に流れていく。</t>
  </si>
  <si>
    <t>波打ち際を走るサーファーを優しく見守るように、●●は足を止めた。一瞬の隙も見せず、素早い身のこなしで周囲を驚かせた。偶然出会ったプロのトレーナーに、特別なコツを教えてもらった。賑やかな話し声が、遠くで聞こえている。</t>
  </si>
  <si>
    <t>木陰から顔を出すリスを優しく見守るように、●●は足を止めた。長い階段を上りきっても、呼吸を乱すことなく余裕の表情だ。高い縁石にひらりと飛び乗り、抜群の身体能力を見せつけた。足元のアスファルトが、少しだけ温かい。</t>
  </si>
  <si>
    <t>流木を優しく見守るように、●●は足を止めた。何キロも歩いた後でも、力強い足取りであなたをリードしている。獲物を狙うように一点を見つめ、微動だにせず状況を観察している。風が心地よく、耳元を通り抜けていった。</t>
  </si>
  <si>
    <t>噴水で遊ぶ子供たちを優しく見守るように、●●は足を止めた。長い階段を上りきっても、呼吸を乱すことなく余裕の表情だ。風に吹かれて毛が美しく流れ、周囲の目を釘付けにした。周囲の空気までもが華やぐようだ。</t>
  </si>
  <si>
    <t>茂みの中で動くトカゲを優しく見守るように、●●は足を止めた。長い階段を上りきっても、呼吸を乱すことなく余裕の表情だ。誰にでも尻尾を振って近づき、すぐにその場の人気者になった。道行く人が思わず笑顔をこぼしている。</t>
  </si>
  <si>
    <t>鳩の群れを優しく見守るように、●●は足を止めた。何キロも歩いた後でも、力強い足取りであなたをリードしている。四肢を堂々と踏み出し、完成された美しいシルエットを披露した。あなたは誇らしい気持ちでリードを握った。</t>
  </si>
  <si>
    <t>自転車に乗ったおじさんを優しく見守るように、●●は足を止めた。長い階段を上りきっても、呼吸を乱すことなく余裕の表情だ。複雑な分かれ道でも、以前通ったルートを正確に思い出して進んだ。これからのコンテストに向けた自信に繋がる。</t>
  </si>
  <si>
    <t>芝生でヨガをするグループを優しく見守るように、●●は足を止めた。長い階段を上りきっても、呼吸を乱すことなく余裕の表情だ。偶然出会ったプロのトレーナーに、特別なコツを教えてもらった。静かな時間が、二人の間に流れていく。</t>
  </si>
  <si>
    <t>お洒落なカフェの店員さんを優しく見守るように、●●は足を止めた。足元の溝を驚異的な跳躍で飛び越え、着地も見事に決めた。周囲の喧騒を一切無視し、あなたの合図だけに全神経を注いでいる。賑やかな話し声が、遠くで聞こえている。</t>
  </si>
  <si>
    <t>木の上から見下ろすカラスを優しく見守るように、●●は足を止めた。足元の溝を驚異的な跳躍で飛び越え、着地も見事に決めた。風に吹かれて毛が美しく流れ、周囲の目を釘付けにした。足元のアスファルトが、少しだけ温かい。</t>
  </si>
  <si>
    <t>釣りをしているお兄さんを優しく見守るように、●●は足を止めた。高い縁石にひらりと飛び乗り、抜群の身体能力を見せつけた。誰にでも尻尾を振って近づき、すぐにその場の人気者になった。風が心地よく、耳元を通り抜けていった。</t>
  </si>
  <si>
    <t>散歩中のチワワを優しく見守るように、●●は足を止めた。高い縁石にひらりと飛び乗り、抜群の身体能力を見せつけた。四肢を堂々と踏み出し、完成された美しいシルエットを披露した。周囲の空気までもが華やぐようだ。</t>
  </si>
  <si>
    <t>鳩の群れを優しく見守るように、●●は足を止めた。足元の溝を驚異的な跳躍で飛び越え、着地も見事に決めた。複雑な分かれ道でも、以前通ったルートを正確に思い出して進んだ。道行く人が思わず笑顔をこぼしている。</t>
  </si>
  <si>
    <t>すれ違う本格的なハイカーを優しく見守るように、●●は足を止めた。高い縁石にひらりと飛び乗り、抜群の身体能力を見せつけた。偶然出会ったプロのトレーナーに、特別なコツを教えてもらった。あなたは誇らしい気持ちでリードを握った。</t>
  </si>
  <si>
    <t>砂浜で穴を掘る小さなカニを優しく見守るように、●●は足を止めた。周囲の喧騒を一切無視し、あなたの合図だけに全神経を注いでいる。風に吹かれて毛が美しく流れ、周囲の目を釘付けにした。これからのコンテストに向けた自信に繋がる。</t>
  </si>
  <si>
    <t>すれ違う本格的なハイカーを優しく見守るように、●●は足を止めた。周囲の喧騒を一切無視し、あなたの合図だけに全神経を注いでいる。通行人の足元に顔を寄せ、愛くるしい仕草で撫でてとせがんだ。静かな時間が、二人の間に流れていく。</t>
  </si>
  <si>
    <t>自転車に乗ったおじさんを優しく見守るように、●●は足を止めた。獲物を狙うように一点を見つめ、微動だにせず状況を観察している。偶然出会ったプロのトレーナーに、特別なコツを教えてもらった。風が心地よく、耳元を通り抜けていった。</t>
  </si>
  <si>
    <t>砂浜で穴を掘る小さなカニを優しく見守るように、●●は足を止めた。風に吹かれて毛が美しく流れ、周囲の目を釘付けにした。通行人の足元に顔を寄せ、愛くるしい仕草で撫でてとせがんだ。周囲の空気までもが華やぐようだ。</t>
  </si>
  <si>
    <t>流木を優しく見守るように、●●は足を止めた。ブラッシングしたての被毛が太陽を反射し、通行人が見惚れている。背筋をピンと伸ばした姿勢で、まるでモデルのような風格で歩く。道行く人が思わず笑顔をこぼしている。</t>
  </si>
  <si>
    <t>空を旋回するカモメを優しく見守るように、●●は足を止めた。誰にでも尻尾を振って近づき、すぐにその場の人気者になった。四肢を堂々と踏み出し、完成された美しいシルエットを披露した。静かな時間が、二人の間に流れていく。</t>
  </si>
  <si>
    <t>お洒落なカフェの店員さんを優しく見守るように、●●は足を止めた。通行人の足元に顔を寄せ、愛くるしい仕草で撫でてとせがんだ。複雑な分かれ道でも、以前通ったルートを正確に思い出して進んだ。賑やかな話し声が、遠くで聞こえている。</t>
  </si>
  <si>
    <t>すれ違う本格的なハイカーを優しく見守るように、●●は足を止めた。通行人の足元に顔を寄せ、愛くるしい仕草で撫でてとせがんだ。偶然出会ったプロのトレーナーに、特別なコツを教えてもらった。足元のアスファルトが、少しだけ温かい。</t>
  </si>
  <si>
    <t>茂みの中で動くトカゲを優しく見守るように、●●は足を止めた。背筋をピンと伸ばした姿勢で、まるでモデルのような風格で歩く。複雑な分かれ道でも、以前通ったルートを正確に思い出して進んだ。風が心地よく、耳元を通り抜けていった。</t>
  </si>
  <si>
    <t>お洒落なカフェの店員さんを優しく見守るように、●●は足を止めた。背筋をピンと伸ばした姿勢で、まるでモデルのような風格で歩く。茂みの奥から、誰かが落とした珍しいおもちゃを見つけ出した。周囲の空気までもが華やぐようだ。</t>
  </si>
  <si>
    <t>散歩中のチワワを優しく見守るように、●●は足を止めた。仕掛けのある看板の仕組みを理解したようで、賢い振る舞いを見せた。茂みの奥から、誰かが落とした珍しいおもちゃを見つけ出した。道行く人が思わず笑顔をこぼしている。</t>
  </si>
  <si>
    <t>砂浜で穴を掘る小さなカニを優しく見守るように、●●は足を止めた。獲物を狙うように一点を見つめ、微動だにせず状況を観察している。周囲の喧騒を一切無視し、あなたの合図だけに全神経を注いでいる。静かな時間が、二人の間に流れていく。</t>
    <phoneticPr fontId="3"/>
  </si>
  <si>
    <t>散歩仲間のゴールデンレトリバーを優しく見守るように、●●は足を止めた。仕掛けのある看板の仕組みを理解したようで、賢い振る舞いを見せた。仕掛けのある看板の仕組みを理解したようで、賢い振る舞いを見せた。周囲の空気までもが華やぐようだ。</t>
    <phoneticPr fontId="3"/>
  </si>
  <si>
    <t>信号待ちのジョギング中の女性を優しく見守るように、●●は足を止めた。茂みの奥深くに入り込み、じっと一点を見つめて動かなくなった。大きな音に驚いて、鼻を鳴らしながらあなたの周りを飛び跳ねた。あなたは誇らしい気持ちでリードを握った。</t>
    <phoneticPr fontId="3"/>
  </si>
  <si>
    <t>木の上から見下ろすカラスを優しく見守るように、●●は足を止めた。茂みの奥深くに入り込み、じっと一点を見つめて動かなくなった。段差の前で立ち止まり、少しだけ休憩したそうな目で見つめてきた。賑やかな話し声が、遠くで聞こえている。</t>
    <phoneticPr fontId="3"/>
  </si>
  <si>
    <t>自転車に乗ったおじさんを優しく見守るように、●●は足を止めた。茂みの奥深くに入り込み、じっと一点を見つめて動かなくなった。周囲の喧騒を一切無視し、あなたの合図だけに全神経を注いでいる。これからのコンテストに向けた自信に繋がる。</t>
    <phoneticPr fontId="3"/>
  </si>
  <si>
    <t>木の上から見下ろすカラスを優しく見守るように、●●は足を止めた。大きな音に驚いて、鼻を鳴らしながらあなたの周りを飛び跳ねた。段差の前で立ち止まり、少しだけ休憩したそうな目で見つめてきた。これからのコンテストに向けた自信に繋がる。</t>
    <phoneticPr fontId="3"/>
  </si>
  <si>
    <t>ベンチで新聞を読むおじいさんを優しく見守るように、●●は足を止めた。大きな音に驚いて、鼻を鳴らしながらあなたの周りを飛び跳ねた。誰にでも尻尾を振って近づき、すぐにその場の人気者になった。これからのコンテストに向けた自信に繋がる。</t>
    <phoneticPr fontId="3"/>
  </si>
  <si>
    <t>砂浜で穴を掘る小さなカニを優しく見守るように、●●は足を止めた。動くものすべてに反応して、尻尾をちぎれんばかりに振っている。複雑な分かれ道でも、以前通ったルートを正確に思い出して進んだ。賑やかな話し声が、遠くで聞こえている。</t>
    <phoneticPr fontId="3"/>
  </si>
  <si>
    <t>散歩仲間のゴールデンレトリバーを優しく見守るように、●●は足を止めた。あなたの顔を何度も見上げ、足取り軽く並んで歩いている。茂みの奥から、誰かが落とした珍しいおもちゃを見つけ出した。これからのコンテストに向けた自信に繋がる。</t>
    <phoneticPr fontId="3"/>
  </si>
  <si>
    <t>散歩仲間のゴールデンレトリバーを優しく見守るように、●●は足を止めた。歩きながら大きなあくびをして、今にもその場で寝落ちしそうだ。横断歩道の前で、指示される前にぴたっとお座りをして待機した。足元のアスファルトが、少しだけ温かい。</t>
    <phoneticPr fontId="3"/>
  </si>
  <si>
    <t>木陰から顔を出すリスを優しく見守るように、●●は足を止めた。ベンチの横で座り込み、まどろみながらあなたの指示を待っている。獲物を狙うように一点を見つめ、微動だにせず状況を観察している。あなたは誇らしい気持ちでリードを握った。</t>
    <phoneticPr fontId="3"/>
  </si>
  <si>
    <t>自転車に乗ったおじさんを優しく見守るように、●●は足を止めた。ベンチの横で座り込み、まどろみながらあなたの指示を待っている。ブラッシングしたての被毛が太陽を反射し、通行人が見惚れている。これからのコンテストに向けた自信に繋がる。</t>
    <phoneticPr fontId="3"/>
  </si>
  <si>
    <t>ベンチで新聞を読むおじいさんを優しく見守るように、●●は足を止めた。舌を出し、いつもより歩調を落としてゆっくりと歩いている。仕掛けのある看板の仕組みを理解したようで、賢い振る舞いを見せた。道行く人が思わず笑顔をこぼしている。</t>
    <phoneticPr fontId="3"/>
  </si>
  <si>
    <t>散歩仲間のゴールデンレトリバーを優しく見守るように、●●は足を止めた。段差の前で立ち止まり、少しだけ休憩したそうな目で見つめてきた。茂みの奥から、誰かが落とした珍しいおもちゃを見つけ出した。あなたは誇らしい気持ちでリードを握った。</t>
    <phoneticPr fontId="3"/>
  </si>
  <si>
    <t>信号待ちのジョギング中の女性を優しく見守るように、●●は足を止めた。全身からエネルギーが溢れ、どんな障害物も軽々と乗り越えていく。風を切るような足取りで、あっという間に目的の角まで辿り着いた。静かな時間が、二人の間に流れていく。</t>
    <phoneticPr fontId="3"/>
  </si>
  <si>
    <t>信号待ちのジョギング中の女性を優しく見守るように、●●は足を止めた。風を切るような足取りで、あっという間に目的の角まで辿り着いた。背筋をピンと伸ばした姿勢で、まるでモデルのような風格で歩く。これからのコンテストに向けた自信に繋がる。</t>
    <phoneticPr fontId="3"/>
  </si>
  <si>
    <t>砂浜で穴を掘る小さなカニを優しく見守るように、●●は足を止めた。周囲の喧騒を一切無視し、あなたの合図だけに全神経を注いでいる。四肢を堂々と踏み出し、完成された美しいシルエットを披露した。賑やかな話し声が、遠くで聞こえている。</t>
    <phoneticPr fontId="3"/>
  </si>
  <si>
    <t>木の上から見下ろすカラスを優しく見守るように、●●は足を止めた。獲物を狙うように一点を見つめ、微動だにせず状況を観察している。仕掛けのある看板の仕組みを理解したようで、賢い振る舞いを見せた。足元のアスファルトが、少しだけ温かい。</t>
    <phoneticPr fontId="3"/>
  </si>
  <si>
    <t>お洒落なカフェの店員さんを優しく見守るように、●●は足を止めた。ブラッシングしたての被毛が太陽を反射し、通行人が見惚れている。仕掛けのある看板の仕組みを理解したようで、賢い振る舞いを見せた。あなたは誇らしい気持ちでリードを握った。</t>
    <phoneticPr fontId="3"/>
  </si>
  <si>
    <t>お洒落なカフェの店員さんを優しく見守るように、●●は足を止めた。ブラッシングしたての被毛が太陽を反射し、通行人が見惚れている。茂みの奥から、誰かが落とした珍しいおもちゃを見つけ出した。これからのコンテストに向けた自信に繋が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</si>
</sst>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Yu Gothic"/>
      <family val="2"/>
      <scheme val="minor"/>
    </font>
    <font>
      <sz val="10"/>
      <color rgb="FF1F1F1F"/>
      <name val="Google Sans Text"/>
      <family val="2"/>
    </font>
    <font>
      <b/>
      <sz val="10"/>
      <color rgb="FF1F1F1F"/>
      <name val="Google Sans Text"/>
      <family val="2"/>
    </font>
    <font>
      <sz val="6"/>
      <name val="Yu Gothic"/>
      <family val="3"/>
      <charset val="128"/>
      <scheme val="minor"/>
    </font>
    <font>
      <sz val="10"/>
      <color rgb="FF1F1F1F"/>
      <name val="ＭＳ ゴシック"/>
      <family val="3"/>
      <charset val="128"/>
    </font>
    <font>
      <sz val="10"/>
      <color rgb="FF1F1F1F"/>
      <name val="Arial"/>
      <family val="2"/>
    </font>
    <font>
      <sz val="10"/>
      <color rgb="FF1F1F1F"/>
      <name val="Google Sans Text"/>
      <family val="3"/>
      <charset val="128"/>
    </font>
    <font>
      <b/>
      <sz val="10"/>
      <color rgb="FF1F1F1F"/>
      <name val="ＭＳ ゴシック"/>
      <family val="3"/>
      <charset val="128"/>
    </font>
    <font>
      <sz val="10"/>
      <color theme="1"/>
      <name val="ＭＳ ゴシック"/>
      <family val="3"/>
      <charset val="128"/>
    </font>
    <font>
      <sz val="10"/>
      <color rgb="FF1F1F1F"/>
      <name val="BIZ UDPゴシック"/>
      <family val="3"/>
      <charset val="128"/>
    </font>
    <font>
      <sz val="11"/>
      <color theme="1"/>
      <name val="BIZ UDPゴシック"/>
      <family val="3"/>
      <charset val="128"/>
    </font>
    <font>
      <sz val="10"/>
      <color theme="1"/>
      <name val="BIZ UDPゴシック"/>
      <family val="3"/>
      <charset val="128"/>
    </font>
    <font>
      <b/>
      <sz val="10"/>
      <color rgb="FF1F1F1F"/>
      <name val="BIZ UDPゴシック"/>
      <family val="3"/>
      <charset val="128"/>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s>
  <cellStyleXfs count="1">
    <xf numFmtId="0" fontId="0" fillId="0" borderId="0"/>
  </cellStyleXfs>
  <cellXfs count="17">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1" fillId="0" borderId="1" xfId="0" applyFont="1" applyBorder="1" applyAlignment="1">
      <alignment vertical="center"/>
    </xf>
    <xf numFmtId="0" fontId="6" fillId="0" borderId="1" xfId="0" applyFont="1" applyBorder="1" applyAlignment="1">
      <alignment vertical="center"/>
    </xf>
    <xf numFmtId="0" fontId="4" fillId="0" borderId="1" xfId="0" applyFont="1" applyBorder="1" applyAlignment="1">
      <alignment vertical="center"/>
    </xf>
    <xf numFmtId="0" fontId="7" fillId="0" borderId="1" xfId="0" applyFont="1" applyBorder="1" applyAlignment="1">
      <alignment wrapText="1"/>
    </xf>
    <xf numFmtId="0" fontId="8" fillId="0" borderId="1" xfId="0" applyFont="1" applyBorder="1" applyAlignment="1">
      <alignment vertical="center"/>
    </xf>
    <xf numFmtId="0" fontId="4" fillId="0" borderId="1" xfId="0" applyFont="1" applyBorder="1" applyAlignment="1">
      <alignment wrapText="1"/>
    </xf>
    <xf numFmtId="0" fontId="0" fillId="0" borderId="0" xfId="0" applyFont="1"/>
    <xf numFmtId="0" fontId="9" fillId="0" borderId="1" xfId="0" applyFont="1" applyBorder="1" applyAlignment="1">
      <alignment wrapText="1"/>
    </xf>
    <xf numFmtId="0" fontId="10" fillId="0" borderId="0" xfId="0" applyFont="1"/>
    <xf numFmtId="0" fontId="9" fillId="0" borderId="1" xfId="0" applyFont="1" applyBorder="1" applyAlignment="1">
      <alignment vertical="center"/>
    </xf>
    <xf numFmtId="0" fontId="11" fillId="0" borderId="1" xfId="0" applyFont="1" applyBorder="1" applyAlignment="1">
      <alignment vertical="center"/>
    </xf>
    <xf numFmtId="0" fontId="12" fillId="2" borderId="1" xfId="0" applyFont="1" applyFill="1" applyBorder="1" applyAlignment="1">
      <alignment wrapText="1"/>
    </xf>
    <xf numFmtId="0" fontId="9" fillId="0" borderId="2" xfId="0" applyFont="1" applyBorder="1" applyAlignment="1">
      <alignment vertical="center"/>
    </xf>
    <xf numFmtId="0" fontId="11" fillId="0" borderId="2"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392D8-DCEE-4DEE-997C-57984CF63004}">
  <dimension ref="A1:K155"/>
  <sheetViews>
    <sheetView tabSelected="1" workbookViewId="0"/>
  </sheetViews>
  <sheetFormatPr defaultRowHeight="12.6"/>
  <cols>
    <col min="1" max="1" width="4.796875" style="11" bestFit="1" customWidth="1"/>
    <col min="2" max="2" width="9.09765625" style="11" bestFit="1" customWidth="1"/>
    <col min="3" max="3" width="16.69921875" style="11" customWidth="1"/>
    <col min="4" max="4" width="4.796875" style="11" bestFit="1" customWidth="1"/>
    <col min="5" max="5" width="9.296875" style="11" bestFit="1" customWidth="1"/>
    <col min="6" max="6" width="16.69921875" style="11" customWidth="1"/>
    <col min="7" max="7" width="4.19921875" style="11" bestFit="1" customWidth="1"/>
    <col min="8" max="8" width="12.69921875" style="11" customWidth="1"/>
    <col min="9" max="11" width="63.296875" style="11" customWidth="1"/>
    <col min="12" max="16384" width="8.796875" style="11"/>
  </cols>
  <sheetData>
    <row r="1" spans="1:11" ht="13.2" thickBot="1">
      <c r="A1" s="14" t="s">
        <v>36</v>
      </c>
      <c r="B1" s="14" t="s">
        <v>43</v>
      </c>
      <c r="C1" s="14" t="s">
        <v>52</v>
      </c>
      <c r="D1" s="14" t="s">
        <v>36</v>
      </c>
      <c r="E1" s="14" t="s">
        <v>44</v>
      </c>
      <c r="F1" s="14" t="s">
        <v>53</v>
      </c>
      <c r="G1" s="14" t="s">
        <v>51</v>
      </c>
      <c r="H1" s="14" t="s">
        <v>45</v>
      </c>
      <c r="I1" s="14" t="s">
        <v>40</v>
      </c>
      <c r="J1" s="14" t="s">
        <v>41</v>
      </c>
      <c r="K1" s="14" t="s">
        <v>42</v>
      </c>
    </row>
    <row r="2" spans="1:11" ht="13.2" thickBot="1">
      <c r="A2" s="10">
        <v>1</v>
      </c>
      <c r="B2" s="10" t="str">
        <f>VLOOKUP(A2,status!$A$2:$B$19,2,FALSE)</f>
        <v>空腹</v>
      </c>
      <c r="C2" s="10">
        <v>20</v>
      </c>
      <c r="D2" s="10">
        <v>1</v>
      </c>
      <c r="E2" s="10" t="str">
        <f>VLOOKUP(D2,status!$A$2:$B$19,2,FALSE)</f>
        <v>空腹</v>
      </c>
      <c r="F2" s="10">
        <v>0</v>
      </c>
      <c r="G2" s="10">
        <v>2</v>
      </c>
      <c r="H2" s="10" t="str">
        <f>VLOOKUP(G2,status!$G$2:$H$5,2,FALSE)</f>
        <v>公園</v>
      </c>
      <c r="I2" s="12" t="s">
        <v>303</v>
      </c>
      <c r="J2" s="12" t="s">
        <v>61</v>
      </c>
      <c r="K2" s="15" t="s">
        <v>362</v>
      </c>
    </row>
    <row r="3" spans="1:11" ht="13.2" thickBot="1">
      <c r="A3" s="10">
        <v>2</v>
      </c>
      <c r="B3" s="10" t="str">
        <f>VLOOKUP(A3,status!$A$2:$B$19,2,FALSE)</f>
        <v>汚れ</v>
      </c>
      <c r="C3" s="10">
        <v>20</v>
      </c>
      <c r="D3" s="10">
        <v>2</v>
      </c>
      <c r="E3" s="10" t="str">
        <f>VLOOKUP(D3,status!$A$2:$B$19,2,FALSE)</f>
        <v>汚れ</v>
      </c>
      <c r="F3" s="10">
        <v>0</v>
      </c>
      <c r="G3" s="10">
        <v>2</v>
      </c>
      <c r="H3" s="10" t="str">
        <f>VLOOKUP(G3,status!$G$2:$H$5,2,FALSE)</f>
        <v>公園</v>
      </c>
      <c r="I3" s="12" t="s">
        <v>176</v>
      </c>
      <c r="J3" s="12" t="s">
        <v>62</v>
      </c>
      <c r="K3" s="15" t="s">
        <v>363</v>
      </c>
    </row>
    <row r="4" spans="1:11" ht="13.2" thickBot="1">
      <c r="A4" s="10">
        <v>3</v>
      </c>
      <c r="B4" s="10" t="str">
        <f>VLOOKUP(A4,status!$A$2:$B$19,2,FALSE)</f>
        <v>排泄</v>
      </c>
      <c r="C4" s="10">
        <v>20</v>
      </c>
      <c r="D4" s="10">
        <v>3</v>
      </c>
      <c r="E4" s="10" t="str">
        <f>VLOOKUP(D4,status!$A$2:$B$19,2,FALSE)</f>
        <v>排泄</v>
      </c>
      <c r="F4" s="10">
        <v>0</v>
      </c>
      <c r="G4" s="10">
        <v>1</v>
      </c>
      <c r="H4" s="10" t="str">
        <f>VLOOKUP(G4,status!$G$2:$H$5,2,FALSE)</f>
        <v>市街地</v>
      </c>
      <c r="I4" s="12" t="s">
        <v>177</v>
      </c>
      <c r="J4" s="12" t="s">
        <v>63</v>
      </c>
      <c r="K4" s="15" t="s">
        <v>364</v>
      </c>
    </row>
    <row r="5" spans="1:11" ht="13.2" thickBot="1">
      <c r="A5" s="10">
        <v>4</v>
      </c>
      <c r="B5" s="10" t="str">
        <f>VLOOKUP(A5,status!$A$2:$B$19,2,FALSE)</f>
        <v>興奮</v>
      </c>
      <c r="C5" s="10">
        <v>20</v>
      </c>
      <c r="D5" s="10">
        <v>4</v>
      </c>
      <c r="E5" s="10" t="str">
        <f>VLOOKUP(D5,status!$A$2:$B$19,2,FALSE)</f>
        <v>興奮</v>
      </c>
      <c r="F5" s="10">
        <v>0</v>
      </c>
      <c r="G5" s="10">
        <v>4</v>
      </c>
      <c r="H5" s="10" t="str">
        <f>VLOOKUP(G5,status!$G$2:$H$5,2,FALSE)</f>
        <v>山道</v>
      </c>
      <c r="I5" s="12" t="s">
        <v>304</v>
      </c>
      <c r="J5" s="12" t="s">
        <v>335</v>
      </c>
      <c r="K5" s="15" t="s">
        <v>365</v>
      </c>
    </row>
    <row r="6" spans="1:11" ht="13.2" thickBot="1">
      <c r="A6" s="10">
        <v>5</v>
      </c>
      <c r="B6" s="10" t="str">
        <f>VLOOKUP(A6,status!$A$2:$B$19,2,FALSE)</f>
        <v>幸福感</v>
      </c>
      <c r="C6" s="10">
        <v>20</v>
      </c>
      <c r="D6" s="10">
        <v>5</v>
      </c>
      <c r="E6" s="10" t="str">
        <f>VLOOKUP(D6,status!$A$2:$B$19,2,FALSE)</f>
        <v>幸福感</v>
      </c>
      <c r="F6" s="10">
        <v>0</v>
      </c>
      <c r="G6" s="10">
        <v>4</v>
      </c>
      <c r="H6" s="10" t="str">
        <f>VLOOKUP(G6,status!$G$2:$H$5,2,FALSE)</f>
        <v>山道</v>
      </c>
      <c r="I6" s="12" t="s">
        <v>178</v>
      </c>
      <c r="J6" s="12" t="s">
        <v>64</v>
      </c>
      <c r="K6" s="15" t="s">
        <v>366</v>
      </c>
    </row>
    <row r="7" spans="1:11" ht="13.2" thickBot="1">
      <c r="A7" s="10">
        <v>6</v>
      </c>
      <c r="B7" s="10" t="str">
        <f>VLOOKUP(A7,status!$A$2:$B$19,2,FALSE)</f>
        <v>眠気</v>
      </c>
      <c r="C7" s="10">
        <v>20</v>
      </c>
      <c r="D7" s="10">
        <v>6</v>
      </c>
      <c r="E7" s="10" t="str">
        <f>VLOOKUP(D7,status!$A$2:$B$19,2,FALSE)</f>
        <v>眠気</v>
      </c>
      <c r="F7" s="10">
        <v>0</v>
      </c>
      <c r="G7" s="10">
        <v>1</v>
      </c>
      <c r="H7" s="10" t="str">
        <f>VLOOKUP(G7,status!$G$2:$H$5,2,FALSE)</f>
        <v>市街地</v>
      </c>
      <c r="I7" s="12" t="s">
        <v>297</v>
      </c>
      <c r="J7" s="12" t="s">
        <v>65</v>
      </c>
      <c r="K7" s="15" t="s">
        <v>367</v>
      </c>
    </row>
    <row r="8" spans="1:11" ht="13.2" thickBot="1">
      <c r="A8" s="10">
        <v>7</v>
      </c>
      <c r="B8" s="10" t="str">
        <f>VLOOKUP(A8,status!$A$2:$B$19,2,FALSE)</f>
        <v>疲労</v>
      </c>
      <c r="C8" s="10">
        <v>20</v>
      </c>
      <c r="D8" s="10">
        <v>7</v>
      </c>
      <c r="E8" s="10" t="str">
        <f>VLOOKUP(D8,status!$A$2:$B$19,2,FALSE)</f>
        <v>疲労</v>
      </c>
      <c r="F8" s="10">
        <v>0</v>
      </c>
      <c r="G8" s="10">
        <v>1</v>
      </c>
      <c r="H8" s="10" t="str">
        <f>VLOOKUP(G8,status!$G$2:$H$5,2,FALSE)</f>
        <v>市街地</v>
      </c>
      <c r="I8" s="12" t="s">
        <v>179</v>
      </c>
      <c r="J8" s="12" t="s">
        <v>336</v>
      </c>
      <c r="K8" s="15" t="s">
        <v>368</v>
      </c>
    </row>
    <row r="9" spans="1:11" ht="13.2" thickBot="1">
      <c r="A9" s="10">
        <v>8</v>
      </c>
      <c r="B9" s="10" t="str">
        <f>VLOOKUP(A9,status!$A$2:$B$19,2,FALSE)</f>
        <v>活力</v>
      </c>
      <c r="C9" s="10">
        <v>20</v>
      </c>
      <c r="D9" s="10">
        <v>8</v>
      </c>
      <c r="E9" s="10" t="str">
        <f>VLOOKUP(D9,status!$A$2:$B$19,2,FALSE)</f>
        <v>活力</v>
      </c>
      <c r="F9" s="10">
        <v>0</v>
      </c>
      <c r="G9" s="10">
        <v>2</v>
      </c>
      <c r="H9" s="10" t="str">
        <f>VLOOKUP(G9,status!$G$2:$H$5,2,FALSE)</f>
        <v>公園</v>
      </c>
      <c r="I9" s="12" t="s">
        <v>180</v>
      </c>
      <c r="J9" s="12" t="s">
        <v>66</v>
      </c>
      <c r="K9" s="15" t="s">
        <v>369</v>
      </c>
    </row>
    <row r="10" spans="1:11" ht="13.2" thickBot="1">
      <c r="A10" s="10">
        <v>9</v>
      </c>
      <c r="B10" s="10" t="str">
        <f>VLOOKUP(A10,status!$A$2:$B$19,2,FALSE)</f>
        <v>規律</v>
      </c>
      <c r="C10" s="10">
        <v>5</v>
      </c>
      <c r="D10" s="10">
        <v>9</v>
      </c>
      <c r="E10" s="10" t="str">
        <f>VLOOKUP(D10,status!$A$2:$B$19,2,FALSE)</f>
        <v>規律</v>
      </c>
      <c r="F10" s="10">
        <v>0</v>
      </c>
      <c r="G10" s="10">
        <v>3</v>
      </c>
      <c r="H10" s="10" t="str">
        <f>VLOOKUP(G10,status!$G$2:$H$5,2,FALSE)</f>
        <v>海辺</v>
      </c>
      <c r="I10" s="12" t="s">
        <v>181</v>
      </c>
      <c r="J10" s="12" t="s">
        <v>67</v>
      </c>
      <c r="K10" s="15" t="s">
        <v>370</v>
      </c>
    </row>
    <row r="11" spans="1:11" ht="13.2" thickBot="1">
      <c r="A11" s="10">
        <v>10</v>
      </c>
      <c r="B11" s="10" t="str">
        <f>VLOOKUP(A11,status!$A$2:$B$19,2,FALSE)</f>
        <v>速度</v>
      </c>
      <c r="C11" s="10">
        <v>5</v>
      </c>
      <c r="D11" s="10">
        <v>10</v>
      </c>
      <c r="E11" s="10" t="str">
        <f>VLOOKUP(D11,status!$A$2:$B$19,2,FALSE)</f>
        <v>速度</v>
      </c>
      <c r="F11" s="10">
        <v>0</v>
      </c>
      <c r="G11" s="10">
        <v>4</v>
      </c>
      <c r="H11" s="10" t="str">
        <f>VLOOKUP(G11,status!$G$2:$H$5,2,FALSE)</f>
        <v>山道</v>
      </c>
      <c r="I11" s="12" t="s">
        <v>182</v>
      </c>
      <c r="J11" s="12" t="s">
        <v>68</v>
      </c>
      <c r="K11" s="15" t="s">
        <v>371</v>
      </c>
    </row>
    <row r="12" spans="1:11" ht="13.2" thickBot="1">
      <c r="A12" s="10">
        <v>11</v>
      </c>
      <c r="B12" s="10" t="str">
        <f>VLOOKUP(A12,status!$A$2:$B$19,2,FALSE)</f>
        <v>スタミナ</v>
      </c>
      <c r="C12" s="10">
        <v>5</v>
      </c>
      <c r="D12" s="10">
        <v>11</v>
      </c>
      <c r="E12" s="10" t="str">
        <f>VLOOKUP(D12,status!$A$2:$B$19,2,FALSE)</f>
        <v>スタミナ</v>
      </c>
      <c r="F12" s="10">
        <v>0</v>
      </c>
      <c r="G12" s="10">
        <v>3</v>
      </c>
      <c r="H12" s="10" t="str">
        <f>VLOOKUP(G12,status!$G$2:$H$5,2,FALSE)</f>
        <v>海辺</v>
      </c>
      <c r="I12" s="12" t="s">
        <v>183</v>
      </c>
      <c r="J12" s="12" t="s">
        <v>69</v>
      </c>
      <c r="K12" s="15" t="s">
        <v>372</v>
      </c>
    </row>
    <row r="13" spans="1:11" ht="13.2" thickBot="1">
      <c r="A13" s="10">
        <v>12</v>
      </c>
      <c r="B13" s="10" t="str">
        <f>VLOOKUP(A13,status!$A$2:$B$19,2,FALSE)</f>
        <v>バネ</v>
      </c>
      <c r="C13" s="10">
        <v>5</v>
      </c>
      <c r="D13" s="10">
        <v>12</v>
      </c>
      <c r="E13" s="10" t="str">
        <f>VLOOKUP(D13,status!$A$2:$B$19,2,FALSE)</f>
        <v>バネ</v>
      </c>
      <c r="F13" s="10">
        <v>0</v>
      </c>
      <c r="G13" s="10">
        <v>4</v>
      </c>
      <c r="H13" s="10" t="str">
        <f>VLOOKUP(G13,status!$G$2:$H$5,2,FALSE)</f>
        <v>山道</v>
      </c>
      <c r="I13" s="12" t="s">
        <v>184</v>
      </c>
      <c r="J13" s="12" t="s">
        <v>70</v>
      </c>
      <c r="K13" s="15" t="s">
        <v>373</v>
      </c>
    </row>
    <row r="14" spans="1:11" ht="13.2" thickBot="1">
      <c r="A14" s="10">
        <v>13</v>
      </c>
      <c r="B14" s="10" t="str">
        <f>VLOOKUP(A14,status!$A$2:$B$19,2,FALSE)</f>
        <v>集中力</v>
      </c>
      <c r="C14" s="10">
        <v>5</v>
      </c>
      <c r="D14" s="10">
        <v>13</v>
      </c>
      <c r="E14" s="10" t="str">
        <f>VLOOKUP(D14,status!$A$2:$B$19,2,FALSE)</f>
        <v>集中力</v>
      </c>
      <c r="F14" s="10">
        <v>0</v>
      </c>
      <c r="G14" s="10">
        <v>3</v>
      </c>
      <c r="H14" s="10" t="str">
        <f>VLOOKUP(G14,status!$G$2:$H$5,2,FALSE)</f>
        <v>海辺</v>
      </c>
      <c r="I14" s="12" t="s">
        <v>305</v>
      </c>
      <c r="J14" s="12" t="s">
        <v>71</v>
      </c>
      <c r="K14" s="15" t="s">
        <v>496</v>
      </c>
    </row>
    <row r="15" spans="1:11" ht="13.2" thickBot="1">
      <c r="A15" s="10">
        <v>14</v>
      </c>
      <c r="B15" s="10" t="str">
        <f>VLOOKUP(A15,status!$A$2:$B$19,2,FALSE)</f>
        <v>毛並み</v>
      </c>
      <c r="C15" s="10">
        <v>1</v>
      </c>
      <c r="D15" s="10">
        <v>14</v>
      </c>
      <c r="E15" s="10" t="str">
        <f>VLOOKUP(D15,status!$A$2:$B$19,2,FALSE)</f>
        <v>毛並み</v>
      </c>
      <c r="F15" s="10">
        <v>0</v>
      </c>
      <c r="G15" s="10">
        <v>2</v>
      </c>
      <c r="H15" s="10" t="str">
        <f>VLOOKUP(G15,status!$G$2:$H$5,2,FALSE)</f>
        <v>公園</v>
      </c>
      <c r="I15" s="12" t="s">
        <v>306</v>
      </c>
      <c r="J15" s="12" t="s">
        <v>337</v>
      </c>
      <c r="K15" s="15" t="s">
        <v>374</v>
      </c>
    </row>
    <row r="16" spans="1:11" ht="13.2" thickBot="1">
      <c r="A16" s="10">
        <v>15</v>
      </c>
      <c r="B16" s="10" t="str">
        <f>VLOOKUP(A16,status!$A$2:$B$19,2,FALSE)</f>
        <v>愛嬌</v>
      </c>
      <c r="C16" s="10">
        <v>1</v>
      </c>
      <c r="D16" s="10">
        <v>15</v>
      </c>
      <c r="E16" s="10" t="str">
        <f>VLOOKUP(D16,status!$A$2:$B$19,2,FALSE)</f>
        <v>愛嬌</v>
      </c>
      <c r="F16" s="10">
        <v>0</v>
      </c>
      <c r="G16" s="10">
        <v>4</v>
      </c>
      <c r="H16" s="10" t="str">
        <f>VLOOKUP(G16,status!$G$2:$H$5,2,FALSE)</f>
        <v>山道</v>
      </c>
      <c r="I16" s="12" t="s">
        <v>185</v>
      </c>
      <c r="J16" s="12" t="s">
        <v>72</v>
      </c>
      <c r="K16" s="15" t="s">
        <v>375</v>
      </c>
    </row>
    <row r="17" spans="1:11" ht="13.2" thickBot="1">
      <c r="A17" s="10">
        <v>16</v>
      </c>
      <c r="B17" s="10" t="str">
        <f>VLOOKUP(A17,status!$A$2:$B$19,2,FALSE)</f>
        <v>スタイル</v>
      </c>
      <c r="C17" s="10">
        <v>1</v>
      </c>
      <c r="D17" s="10">
        <v>16</v>
      </c>
      <c r="E17" s="10" t="str">
        <f>VLOOKUP(D17,status!$A$2:$B$19,2,FALSE)</f>
        <v>スタイル</v>
      </c>
      <c r="F17" s="10">
        <v>0</v>
      </c>
      <c r="G17" s="10">
        <v>4</v>
      </c>
      <c r="H17" s="10" t="str">
        <f>VLOOKUP(G17,status!$G$2:$H$5,2,FALSE)</f>
        <v>山道</v>
      </c>
      <c r="I17" s="12" t="s">
        <v>186</v>
      </c>
      <c r="J17" s="12" t="s">
        <v>73</v>
      </c>
      <c r="K17" s="15" t="s">
        <v>376</v>
      </c>
    </row>
    <row r="18" spans="1:11" ht="13.2" thickBot="1">
      <c r="A18" s="10">
        <v>17</v>
      </c>
      <c r="B18" s="10" t="str">
        <f>VLOOKUP(A18,status!$A$2:$B$19,2,FALSE)</f>
        <v>知性</v>
      </c>
      <c r="C18" s="10">
        <v>1</v>
      </c>
      <c r="D18" s="10">
        <v>17</v>
      </c>
      <c r="E18" s="10" t="str">
        <f>VLOOKUP(D18,status!$A$2:$B$19,2,FALSE)</f>
        <v>知性</v>
      </c>
      <c r="F18" s="10">
        <v>0</v>
      </c>
      <c r="G18" s="10">
        <v>2</v>
      </c>
      <c r="H18" s="10" t="str">
        <f>VLOOKUP(G18,status!$G$2:$H$5,2,FALSE)</f>
        <v>公園</v>
      </c>
      <c r="I18" s="13" t="s">
        <v>187</v>
      </c>
      <c r="J18" s="13" t="s">
        <v>338</v>
      </c>
      <c r="K18" s="16" t="s">
        <v>497</v>
      </c>
    </row>
    <row r="19" spans="1:11" ht="13.2" thickBot="1">
      <c r="A19" s="10">
        <v>18</v>
      </c>
      <c r="B19" s="10" t="str">
        <f>VLOOKUP(A19,status!$A$2:$B$19,2,FALSE)</f>
        <v>幸運</v>
      </c>
      <c r="C19" s="10">
        <v>1</v>
      </c>
      <c r="D19" s="10">
        <v>18</v>
      </c>
      <c r="E19" s="10" t="str">
        <f>VLOOKUP(D19,status!$A$2:$B$19,2,FALSE)</f>
        <v>幸運</v>
      </c>
      <c r="F19" s="10">
        <v>0</v>
      </c>
      <c r="G19" s="10">
        <v>1</v>
      </c>
      <c r="H19" s="10" t="str">
        <f>VLOOKUP(G19,status!$G$2:$H$5,2,FALSE)</f>
        <v>市街地</v>
      </c>
      <c r="I19" s="13" t="s">
        <v>188</v>
      </c>
      <c r="J19" s="13" t="s">
        <v>74</v>
      </c>
      <c r="K19" s="16" t="s">
        <v>377</v>
      </c>
    </row>
    <row r="20" spans="1:11" ht="13.2" thickBot="1">
      <c r="A20" s="10">
        <v>2</v>
      </c>
      <c r="B20" s="10" t="str">
        <f>VLOOKUP(A20,status!$A$2:$B$19,2,FALSE)</f>
        <v>汚れ</v>
      </c>
      <c r="C20" s="10">
        <v>10</v>
      </c>
      <c r="D20" s="10">
        <v>3</v>
      </c>
      <c r="E20" s="10" t="str">
        <f>VLOOKUP(D20,status!$A$2:$B$19,2,FALSE)</f>
        <v>排泄</v>
      </c>
      <c r="F20" s="10">
        <v>10</v>
      </c>
      <c r="G20" s="10">
        <v>1</v>
      </c>
      <c r="H20" s="10" t="str">
        <f>VLOOKUP(G20,status!$G$2:$H$5,2,FALSE)</f>
        <v>市街地</v>
      </c>
      <c r="I20" s="13" t="s">
        <v>189</v>
      </c>
      <c r="J20" s="13" t="s">
        <v>75</v>
      </c>
      <c r="K20" s="16" t="s">
        <v>378</v>
      </c>
    </row>
    <row r="21" spans="1:11" ht="13.2" thickBot="1">
      <c r="A21" s="10">
        <v>2</v>
      </c>
      <c r="B21" s="10" t="str">
        <f>VLOOKUP(A21,status!$A$2:$B$19,2,FALSE)</f>
        <v>汚れ</v>
      </c>
      <c r="C21" s="10">
        <v>10</v>
      </c>
      <c r="D21" s="10">
        <v>4</v>
      </c>
      <c r="E21" s="10" t="str">
        <f>VLOOKUP(D21,status!$A$2:$B$19,2,FALSE)</f>
        <v>興奮</v>
      </c>
      <c r="F21" s="10">
        <v>10</v>
      </c>
      <c r="G21" s="10">
        <v>2</v>
      </c>
      <c r="H21" s="10" t="str">
        <f>VLOOKUP(G21,status!$G$2:$H$5,2,FALSE)</f>
        <v>公園</v>
      </c>
      <c r="I21" s="13" t="s">
        <v>190</v>
      </c>
      <c r="J21" s="13" t="s">
        <v>339</v>
      </c>
      <c r="K21" s="16" t="s">
        <v>379</v>
      </c>
    </row>
    <row r="22" spans="1:11" ht="13.2" thickBot="1">
      <c r="A22" s="10">
        <v>2</v>
      </c>
      <c r="B22" s="10" t="str">
        <f>VLOOKUP(A22,status!$A$2:$B$19,2,FALSE)</f>
        <v>汚れ</v>
      </c>
      <c r="C22" s="10">
        <v>10</v>
      </c>
      <c r="D22" s="10">
        <v>5</v>
      </c>
      <c r="E22" s="10" t="str">
        <f>VLOOKUP(D22,status!$A$2:$B$19,2,FALSE)</f>
        <v>幸福感</v>
      </c>
      <c r="F22" s="10">
        <v>-10</v>
      </c>
      <c r="G22" s="10">
        <v>1</v>
      </c>
      <c r="H22" s="10" t="str">
        <f>VLOOKUP(G22,status!$G$2:$H$5,2,FALSE)</f>
        <v>市街地</v>
      </c>
      <c r="I22" s="13" t="s">
        <v>191</v>
      </c>
      <c r="J22" s="13" t="s">
        <v>76</v>
      </c>
      <c r="K22" s="16" t="s">
        <v>380</v>
      </c>
    </row>
    <row r="23" spans="1:11" ht="13.2" thickBot="1">
      <c r="A23" s="10">
        <v>2</v>
      </c>
      <c r="B23" s="10" t="str">
        <f>VLOOKUP(A23,status!$A$2:$B$19,2,FALSE)</f>
        <v>汚れ</v>
      </c>
      <c r="C23" s="10">
        <v>10</v>
      </c>
      <c r="D23" s="10">
        <v>6</v>
      </c>
      <c r="E23" s="10" t="str">
        <f>VLOOKUP(D23,status!$A$2:$B$19,2,FALSE)</f>
        <v>眠気</v>
      </c>
      <c r="F23" s="10">
        <v>10</v>
      </c>
      <c r="G23" s="10">
        <v>3</v>
      </c>
      <c r="H23" s="10" t="str">
        <f>VLOOKUP(G23,status!$G$2:$H$5,2,FALSE)</f>
        <v>海辺</v>
      </c>
      <c r="I23" s="13" t="s">
        <v>192</v>
      </c>
      <c r="J23" s="13" t="s">
        <v>340</v>
      </c>
      <c r="K23" s="16" t="s">
        <v>381</v>
      </c>
    </row>
    <row r="24" spans="1:11" ht="13.2" thickBot="1">
      <c r="A24" s="10">
        <v>2</v>
      </c>
      <c r="B24" s="10" t="str">
        <f>VLOOKUP(A24,status!$A$2:$B$19,2,FALSE)</f>
        <v>汚れ</v>
      </c>
      <c r="C24" s="10">
        <v>10</v>
      </c>
      <c r="D24" s="10">
        <v>7</v>
      </c>
      <c r="E24" s="10" t="str">
        <f>VLOOKUP(D24,status!$A$2:$B$19,2,FALSE)</f>
        <v>疲労</v>
      </c>
      <c r="F24" s="10">
        <v>10</v>
      </c>
      <c r="G24" s="10">
        <v>4</v>
      </c>
      <c r="H24" s="10" t="str">
        <f>VLOOKUP(G24,status!$G$2:$H$5,2,FALSE)</f>
        <v>山道</v>
      </c>
      <c r="I24" s="13" t="s">
        <v>193</v>
      </c>
      <c r="J24" s="13" t="s">
        <v>77</v>
      </c>
      <c r="K24" s="16" t="s">
        <v>382</v>
      </c>
    </row>
    <row r="25" spans="1:11" ht="13.2" thickBot="1">
      <c r="A25" s="10">
        <v>2</v>
      </c>
      <c r="B25" s="10" t="str">
        <f>VLOOKUP(A25,status!$A$2:$B$19,2,FALSE)</f>
        <v>汚れ</v>
      </c>
      <c r="C25" s="10">
        <v>10</v>
      </c>
      <c r="D25" s="10">
        <v>8</v>
      </c>
      <c r="E25" s="10" t="str">
        <f>VLOOKUP(D25,status!$A$2:$B$19,2,FALSE)</f>
        <v>活力</v>
      </c>
      <c r="F25" s="10">
        <v>-10</v>
      </c>
      <c r="G25" s="10">
        <v>4</v>
      </c>
      <c r="H25" s="10" t="str">
        <f>VLOOKUP(G25,status!$G$2:$H$5,2,FALSE)</f>
        <v>山道</v>
      </c>
      <c r="I25" s="13" t="s">
        <v>194</v>
      </c>
      <c r="J25" s="13" t="s">
        <v>78</v>
      </c>
      <c r="K25" s="16" t="s">
        <v>383</v>
      </c>
    </row>
    <row r="26" spans="1:11" ht="13.2" thickBot="1">
      <c r="A26" s="10">
        <v>2</v>
      </c>
      <c r="B26" s="10" t="str">
        <f>VLOOKUP(A26,status!$A$2:$B$19,2,FALSE)</f>
        <v>汚れ</v>
      </c>
      <c r="C26" s="10">
        <v>10</v>
      </c>
      <c r="D26" s="10">
        <v>9</v>
      </c>
      <c r="E26" s="10" t="str">
        <f>VLOOKUP(D26,status!$A$2:$B$19,2,FALSE)</f>
        <v>規律</v>
      </c>
      <c r="F26" s="10">
        <v>5</v>
      </c>
      <c r="G26" s="10">
        <v>3</v>
      </c>
      <c r="H26" s="10" t="str">
        <f>VLOOKUP(G26,status!$G$2:$H$5,2,FALSE)</f>
        <v>海辺</v>
      </c>
      <c r="I26" s="13" t="s">
        <v>195</v>
      </c>
      <c r="J26" s="13" t="s">
        <v>79</v>
      </c>
      <c r="K26" s="16" t="s">
        <v>384</v>
      </c>
    </row>
    <row r="27" spans="1:11" ht="13.2" thickBot="1">
      <c r="A27" s="10">
        <v>2</v>
      </c>
      <c r="B27" s="10" t="str">
        <f>VLOOKUP(A27,status!$A$2:$B$19,2,FALSE)</f>
        <v>汚れ</v>
      </c>
      <c r="C27" s="10">
        <v>10</v>
      </c>
      <c r="D27" s="10">
        <v>10</v>
      </c>
      <c r="E27" s="10" t="str">
        <f>VLOOKUP(D27,status!$A$2:$B$19,2,FALSE)</f>
        <v>速度</v>
      </c>
      <c r="F27" s="10">
        <v>5</v>
      </c>
      <c r="G27" s="10">
        <v>2</v>
      </c>
      <c r="H27" s="10" t="str">
        <f>VLOOKUP(G27,status!$G$2:$H$5,2,FALSE)</f>
        <v>公園</v>
      </c>
      <c r="I27" s="13" t="s">
        <v>196</v>
      </c>
      <c r="J27" s="13" t="s">
        <v>80</v>
      </c>
      <c r="K27" s="16" t="s">
        <v>385</v>
      </c>
    </row>
    <row r="28" spans="1:11" ht="13.2" thickBot="1">
      <c r="A28" s="10">
        <v>2</v>
      </c>
      <c r="B28" s="10" t="str">
        <f>VLOOKUP(A28,status!$A$2:$B$19,2,FALSE)</f>
        <v>汚れ</v>
      </c>
      <c r="C28" s="10">
        <v>10</v>
      </c>
      <c r="D28" s="10">
        <v>11</v>
      </c>
      <c r="E28" s="10" t="str">
        <f>VLOOKUP(D28,status!$A$2:$B$19,2,FALSE)</f>
        <v>スタミナ</v>
      </c>
      <c r="F28" s="10">
        <v>5</v>
      </c>
      <c r="G28" s="10">
        <v>3</v>
      </c>
      <c r="H28" s="10" t="str">
        <f>VLOOKUP(G28,status!$G$2:$H$5,2,FALSE)</f>
        <v>海辺</v>
      </c>
      <c r="I28" s="13" t="s">
        <v>197</v>
      </c>
      <c r="J28" s="13" t="s">
        <v>81</v>
      </c>
      <c r="K28" s="16" t="s">
        <v>386</v>
      </c>
    </row>
    <row r="29" spans="1:11" ht="13.2" thickBot="1">
      <c r="A29" s="10">
        <v>2</v>
      </c>
      <c r="B29" s="10" t="str">
        <f>VLOOKUP(A29,status!$A$2:$B$19,2,FALSE)</f>
        <v>汚れ</v>
      </c>
      <c r="C29" s="10">
        <v>10</v>
      </c>
      <c r="D29" s="10">
        <v>12</v>
      </c>
      <c r="E29" s="10" t="str">
        <f>VLOOKUP(D29,status!$A$2:$B$19,2,FALSE)</f>
        <v>バネ</v>
      </c>
      <c r="F29" s="10">
        <v>5</v>
      </c>
      <c r="G29" s="10">
        <v>3</v>
      </c>
      <c r="H29" s="10" t="str">
        <f>VLOOKUP(G29,status!$G$2:$H$5,2,FALSE)</f>
        <v>海辺</v>
      </c>
      <c r="I29" s="13" t="s">
        <v>198</v>
      </c>
      <c r="J29" s="13" t="s">
        <v>82</v>
      </c>
      <c r="K29" s="16" t="s">
        <v>387</v>
      </c>
    </row>
    <row r="30" spans="1:11" ht="13.2" thickBot="1">
      <c r="A30" s="10">
        <v>2</v>
      </c>
      <c r="B30" s="10" t="str">
        <f>VLOOKUP(A30,status!$A$2:$B$19,2,FALSE)</f>
        <v>汚れ</v>
      </c>
      <c r="C30" s="10">
        <v>10</v>
      </c>
      <c r="D30" s="10">
        <v>13</v>
      </c>
      <c r="E30" s="10" t="str">
        <f>VLOOKUP(D30,status!$A$2:$B$19,2,FALSE)</f>
        <v>集中力</v>
      </c>
      <c r="F30" s="10">
        <v>5</v>
      </c>
      <c r="G30" s="10">
        <v>4</v>
      </c>
      <c r="H30" s="10" t="str">
        <f>VLOOKUP(G30,status!$G$2:$H$5,2,FALSE)</f>
        <v>山道</v>
      </c>
      <c r="I30" s="13" t="s">
        <v>199</v>
      </c>
      <c r="J30" s="13" t="s">
        <v>83</v>
      </c>
      <c r="K30" s="16" t="s">
        <v>388</v>
      </c>
    </row>
    <row r="31" spans="1:11" ht="13.2" thickBot="1">
      <c r="A31" s="10">
        <v>2</v>
      </c>
      <c r="B31" s="10" t="str">
        <f>VLOOKUP(A31,status!$A$2:$B$19,2,FALSE)</f>
        <v>汚れ</v>
      </c>
      <c r="C31" s="10">
        <v>10</v>
      </c>
      <c r="D31" s="10">
        <v>14</v>
      </c>
      <c r="E31" s="10" t="str">
        <f>VLOOKUP(D31,status!$A$2:$B$19,2,FALSE)</f>
        <v>毛並み</v>
      </c>
      <c r="F31" s="10">
        <v>-1</v>
      </c>
      <c r="G31" s="10">
        <v>3</v>
      </c>
      <c r="H31" s="10" t="str">
        <f>VLOOKUP(G31,status!$G$2:$H$5,2,FALSE)</f>
        <v>海辺</v>
      </c>
      <c r="I31" s="13" t="s">
        <v>200</v>
      </c>
      <c r="J31" s="13" t="s">
        <v>84</v>
      </c>
      <c r="K31" s="16" t="s">
        <v>389</v>
      </c>
    </row>
    <row r="32" spans="1:11" ht="13.2" thickBot="1">
      <c r="A32" s="10">
        <v>2</v>
      </c>
      <c r="B32" s="10" t="str">
        <f>VLOOKUP(A32,status!$A$2:$B$19,2,FALSE)</f>
        <v>汚れ</v>
      </c>
      <c r="C32" s="10">
        <v>10</v>
      </c>
      <c r="D32" s="10">
        <v>15</v>
      </c>
      <c r="E32" s="10" t="str">
        <f>VLOOKUP(D32,status!$A$2:$B$19,2,FALSE)</f>
        <v>愛嬌</v>
      </c>
      <c r="F32" s="10">
        <v>-1</v>
      </c>
      <c r="G32" s="10">
        <v>3</v>
      </c>
      <c r="H32" s="10" t="str">
        <f>VLOOKUP(G32,status!$G$2:$H$5,2,FALSE)</f>
        <v>海辺</v>
      </c>
      <c r="I32" s="13" t="s">
        <v>201</v>
      </c>
      <c r="J32" s="13" t="s">
        <v>85</v>
      </c>
      <c r="K32" s="16" t="s">
        <v>390</v>
      </c>
    </row>
    <row r="33" spans="1:11" ht="13.2" thickBot="1">
      <c r="A33" s="10">
        <v>2</v>
      </c>
      <c r="B33" s="10" t="str">
        <f>VLOOKUP(A33,status!$A$2:$B$19,2,FALSE)</f>
        <v>汚れ</v>
      </c>
      <c r="C33" s="10">
        <v>10</v>
      </c>
      <c r="D33" s="10">
        <v>16</v>
      </c>
      <c r="E33" s="10" t="str">
        <f>VLOOKUP(D33,status!$A$2:$B$19,2,FALSE)</f>
        <v>スタイル</v>
      </c>
      <c r="F33" s="10">
        <v>-1</v>
      </c>
      <c r="G33" s="10">
        <v>3</v>
      </c>
      <c r="H33" s="10" t="str">
        <f>VLOOKUP(G33,status!$G$2:$H$5,2,FALSE)</f>
        <v>海辺</v>
      </c>
      <c r="I33" s="13" t="s">
        <v>202</v>
      </c>
      <c r="J33" s="13" t="s">
        <v>86</v>
      </c>
      <c r="K33" s="16" t="s">
        <v>391</v>
      </c>
    </row>
    <row r="34" spans="1:11" ht="13.2" thickBot="1">
      <c r="A34" s="10">
        <v>2</v>
      </c>
      <c r="B34" s="10" t="str">
        <f>VLOOKUP(A34,status!$A$2:$B$19,2,FALSE)</f>
        <v>汚れ</v>
      </c>
      <c r="C34" s="10">
        <v>10</v>
      </c>
      <c r="D34" s="10">
        <v>17</v>
      </c>
      <c r="E34" s="10" t="str">
        <f>VLOOKUP(D34,status!$A$2:$B$19,2,FALSE)</f>
        <v>知性</v>
      </c>
      <c r="F34" s="10">
        <v>-1</v>
      </c>
      <c r="G34" s="10">
        <v>2</v>
      </c>
      <c r="H34" s="10" t="str">
        <f>VLOOKUP(G34,status!$G$2:$H$5,2,FALSE)</f>
        <v>公園</v>
      </c>
      <c r="I34" s="13" t="s">
        <v>203</v>
      </c>
      <c r="J34" s="13" t="s">
        <v>87</v>
      </c>
      <c r="K34" s="16" t="s">
        <v>392</v>
      </c>
    </row>
    <row r="35" spans="1:11" ht="13.2" thickBot="1">
      <c r="A35" s="10">
        <v>2</v>
      </c>
      <c r="B35" s="10" t="str">
        <f>VLOOKUP(A35,status!$A$2:$B$19,2,FALSE)</f>
        <v>汚れ</v>
      </c>
      <c r="C35" s="10">
        <v>10</v>
      </c>
      <c r="D35" s="10">
        <v>18</v>
      </c>
      <c r="E35" s="10" t="str">
        <f>VLOOKUP(D35,status!$A$2:$B$19,2,FALSE)</f>
        <v>幸運</v>
      </c>
      <c r="F35" s="10">
        <v>-1</v>
      </c>
      <c r="G35" s="10">
        <v>2</v>
      </c>
      <c r="H35" s="10" t="str">
        <f>VLOOKUP(G35,status!$G$2:$H$5,2,FALSE)</f>
        <v>公園</v>
      </c>
      <c r="I35" s="13" t="s">
        <v>204</v>
      </c>
      <c r="J35" s="13" t="s">
        <v>88</v>
      </c>
      <c r="K35" s="16" t="s">
        <v>393</v>
      </c>
    </row>
    <row r="36" spans="1:11" ht="13.2" thickBot="1">
      <c r="A36" s="10">
        <v>3</v>
      </c>
      <c r="B36" s="10" t="str">
        <f>VLOOKUP(A36,status!$A$2:$B$19,2,FALSE)</f>
        <v>排泄</v>
      </c>
      <c r="C36" s="10">
        <v>10</v>
      </c>
      <c r="D36" s="10">
        <v>4</v>
      </c>
      <c r="E36" s="10" t="str">
        <f>VLOOKUP(D36,status!$A$2:$B$19,2,FALSE)</f>
        <v>興奮</v>
      </c>
      <c r="F36" s="10">
        <v>10</v>
      </c>
      <c r="G36" s="10">
        <v>1</v>
      </c>
      <c r="H36" s="10" t="str">
        <f>VLOOKUP(G36,status!$G$2:$H$5,2,FALSE)</f>
        <v>市街地</v>
      </c>
      <c r="I36" s="13" t="s">
        <v>205</v>
      </c>
      <c r="J36" s="13" t="s">
        <v>54</v>
      </c>
      <c r="K36" s="16" t="s">
        <v>498</v>
      </c>
    </row>
    <row r="37" spans="1:11" ht="13.2" thickBot="1">
      <c r="A37" s="10">
        <v>3</v>
      </c>
      <c r="B37" s="10" t="str">
        <f>VLOOKUP(A37,status!$A$2:$B$19,2,FALSE)</f>
        <v>排泄</v>
      </c>
      <c r="C37" s="10">
        <v>10</v>
      </c>
      <c r="D37" s="10">
        <v>5</v>
      </c>
      <c r="E37" s="10" t="str">
        <f>VLOOKUP(D37,status!$A$2:$B$19,2,FALSE)</f>
        <v>幸福感</v>
      </c>
      <c r="F37" s="10">
        <v>-10</v>
      </c>
      <c r="G37" s="10">
        <v>4</v>
      </c>
      <c r="H37" s="10" t="str">
        <f>VLOOKUP(G37,status!$G$2:$H$5,2,FALSE)</f>
        <v>山道</v>
      </c>
      <c r="I37" s="13" t="s">
        <v>206</v>
      </c>
      <c r="J37" s="13" t="s">
        <v>89</v>
      </c>
      <c r="K37" s="16" t="s">
        <v>394</v>
      </c>
    </row>
    <row r="38" spans="1:11" ht="13.2" thickBot="1">
      <c r="A38" s="10">
        <v>3</v>
      </c>
      <c r="B38" s="10" t="str">
        <f>VLOOKUP(A38,status!$A$2:$B$19,2,FALSE)</f>
        <v>排泄</v>
      </c>
      <c r="C38" s="10">
        <v>10</v>
      </c>
      <c r="D38" s="10">
        <v>6</v>
      </c>
      <c r="E38" s="10" t="str">
        <f>VLOOKUP(D38,status!$A$2:$B$19,2,FALSE)</f>
        <v>眠気</v>
      </c>
      <c r="F38" s="10">
        <v>10</v>
      </c>
      <c r="G38" s="10">
        <v>3</v>
      </c>
      <c r="H38" s="10" t="str">
        <f>VLOOKUP(G38,status!$G$2:$H$5,2,FALSE)</f>
        <v>海辺</v>
      </c>
      <c r="I38" s="13" t="s">
        <v>207</v>
      </c>
      <c r="J38" s="13" t="s">
        <v>90</v>
      </c>
      <c r="K38" s="16" t="s">
        <v>395</v>
      </c>
    </row>
    <row r="39" spans="1:11" ht="13.2" thickBot="1">
      <c r="A39" s="10">
        <v>3</v>
      </c>
      <c r="B39" s="10" t="str">
        <f>VLOOKUP(A39,status!$A$2:$B$19,2,FALSE)</f>
        <v>排泄</v>
      </c>
      <c r="C39" s="10">
        <v>10</v>
      </c>
      <c r="D39" s="10">
        <v>7</v>
      </c>
      <c r="E39" s="10" t="str">
        <f>VLOOKUP(D39,status!$A$2:$B$19,2,FALSE)</f>
        <v>疲労</v>
      </c>
      <c r="F39" s="10">
        <v>10</v>
      </c>
      <c r="G39" s="10">
        <v>2</v>
      </c>
      <c r="H39" s="10" t="str">
        <f>VLOOKUP(G39,status!$G$2:$H$5,2,FALSE)</f>
        <v>公園</v>
      </c>
      <c r="I39" s="13" t="s">
        <v>208</v>
      </c>
      <c r="J39" s="13" t="s">
        <v>91</v>
      </c>
      <c r="K39" s="16" t="s">
        <v>499</v>
      </c>
    </row>
    <row r="40" spans="1:11" ht="13.2" thickBot="1">
      <c r="A40" s="10">
        <v>3</v>
      </c>
      <c r="B40" s="10" t="str">
        <f>VLOOKUP(A40,status!$A$2:$B$19,2,FALSE)</f>
        <v>排泄</v>
      </c>
      <c r="C40" s="10">
        <v>10</v>
      </c>
      <c r="D40" s="10">
        <v>8</v>
      </c>
      <c r="E40" s="10" t="str">
        <f>VLOOKUP(D40,status!$A$2:$B$19,2,FALSE)</f>
        <v>活力</v>
      </c>
      <c r="F40" s="10">
        <v>-10</v>
      </c>
      <c r="G40" s="10">
        <v>2</v>
      </c>
      <c r="H40" s="10" t="str">
        <f>VLOOKUP(G40,status!$G$2:$H$5,2,FALSE)</f>
        <v>公園</v>
      </c>
      <c r="I40" s="13" t="s">
        <v>209</v>
      </c>
      <c r="J40" s="13" t="s">
        <v>92</v>
      </c>
      <c r="K40" s="16" t="s">
        <v>396</v>
      </c>
    </row>
    <row r="41" spans="1:11" ht="13.2" thickBot="1">
      <c r="A41" s="10">
        <v>3</v>
      </c>
      <c r="B41" s="10" t="str">
        <f>VLOOKUP(A41,status!$A$2:$B$19,2,FALSE)</f>
        <v>排泄</v>
      </c>
      <c r="C41" s="10">
        <v>10</v>
      </c>
      <c r="D41" s="10">
        <v>9</v>
      </c>
      <c r="E41" s="10" t="str">
        <f>VLOOKUP(D41,status!$A$2:$B$19,2,FALSE)</f>
        <v>規律</v>
      </c>
      <c r="F41" s="10">
        <v>-5</v>
      </c>
      <c r="G41" s="10">
        <v>2</v>
      </c>
      <c r="H41" s="10" t="str">
        <f>VLOOKUP(G41,status!$G$2:$H$5,2,FALSE)</f>
        <v>公園</v>
      </c>
      <c r="I41" s="13" t="s">
        <v>55</v>
      </c>
      <c r="J41" s="13" t="s">
        <v>341</v>
      </c>
      <c r="K41" s="16" t="s">
        <v>397</v>
      </c>
    </row>
    <row r="42" spans="1:11" ht="13.2" thickBot="1">
      <c r="A42" s="10">
        <v>3</v>
      </c>
      <c r="B42" s="10" t="str">
        <f>VLOOKUP(A42,status!$A$2:$B$19,2,FALSE)</f>
        <v>排泄</v>
      </c>
      <c r="C42" s="10">
        <v>10</v>
      </c>
      <c r="D42" s="10">
        <v>10</v>
      </c>
      <c r="E42" s="10" t="str">
        <f>VLOOKUP(D42,status!$A$2:$B$19,2,FALSE)</f>
        <v>速度</v>
      </c>
      <c r="F42" s="10">
        <v>-5</v>
      </c>
      <c r="G42" s="10">
        <v>4</v>
      </c>
      <c r="H42" s="10" t="str">
        <f>VLOOKUP(G42,status!$G$2:$H$5,2,FALSE)</f>
        <v>山道</v>
      </c>
      <c r="I42" s="13" t="s">
        <v>210</v>
      </c>
      <c r="J42" s="13" t="s">
        <v>93</v>
      </c>
      <c r="K42" s="16" t="s">
        <v>398</v>
      </c>
    </row>
    <row r="43" spans="1:11" ht="13.2" thickBot="1">
      <c r="A43" s="10">
        <v>3</v>
      </c>
      <c r="B43" s="10" t="str">
        <f>VLOOKUP(A43,status!$A$2:$B$19,2,FALSE)</f>
        <v>排泄</v>
      </c>
      <c r="C43" s="10">
        <v>10</v>
      </c>
      <c r="D43" s="10">
        <v>11</v>
      </c>
      <c r="E43" s="10" t="str">
        <f>VLOOKUP(D43,status!$A$2:$B$19,2,FALSE)</f>
        <v>スタミナ</v>
      </c>
      <c r="F43" s="10">
        <v>-5</v>
      </c>
      <c r="G43" s="10">
        <v>1</v>
      </c>
      <c r="H43" s="10" t="str">
        <f>VLOOKUP(G43,status!$G$2:$H$5,2,FALSE)</f>
        <v>市街地</v>
      </c>
      <c r="I43" s="13" t="s">
        <v>211</v>
      </c>
      <c r="J43" s="13" t="s">
        <v>94</v>
      </c>
      <c r="K43" s="16" t="s">
        <v>399</v>
      </c>
    </row>
    <row r="44" spans="1:11" ht="13.2" thickBot="1">
      <c r="A44" s="10">
        <v>3</v>
      </c>
      <c r="B44" s="10" t="str">
        <f>VLOOKUP(A44,status!$A$2:$B$19,2,FALSE)</f>
        <v>排泄</v>
      </c>
      <c r="C44" s="10">
        <v>10</v>
      </c>
      <c r="D44" s="10">
        <v>12</v>
      </c>
      <c r="E44" s="10" t="str">
        <f>VLOOKUP(D44,status!$A$2:$B$19,2,FALSE)</f>
        <v>バネ</v>
      </c>
      <c r="F44" s="10">
        <v>-5</v>
      </c>
      <c r="G44" s="10">
        <v>1</v>
      </c>
      <c r="H44" s="10" t="str">
        <f>VLOOKUP(G44,status!$G$2:$H$5,2,FALSE)</f>
        <v>市街地</v>
      </c>
      <c r="I44" s="13" t="s">
        <v>212</v>
      </c>
      <c r="J44" s="13" t="s">
        <v>95</v>
      </c>
      <c r="K44" s="16" t="s">
        <v>400</v>
      </c>
    </row>
    <row r="45" spans="1:11" ht="13.2" thickBot="1">
      <c r="A45" s="10">
        <v>3</v>
      </c>
      <c r="B45" s="10" t="str">
        <f>VLOOKUP(A45,status!$A$2:$B$19,2,FALSE)</f>
        <v>排泄</v>
      </c>
      <c r="C45" s="10">
        <v>10</v>
      </c>
      <c r="D45" s="10">
        <v>13</v>
      </c>
      <c r="E45" s="10" t="str">
        <f>VLOOKUP(D45,status!$A$2:$B$19,2,FALSE)</f>
        <v>集中力</v>
      </c>
      <c r="F45" s="10">
        <v>-5</v>
      </c>
      <c r="G45" s="10">
        <v>1</v>
      </c>
      <c r="H45" s="10" t="str">
        <f>VLOOKUP(G45,status!$G$2:$H$5,2,FALSE)</f>
        <v>市街地</v>
      </c>
      <c r="I45" s="13" t="s">
        <v>307</v>
      </c>
      <c r="J45" s="13" t="s">
        <v>342</v>
      </c>
      <c r="K45" s="16" t="s">
        <v>500</v>
      </c>
    </row>
    <row r="46" spans="1:11" ht="13.2" thickBot="1">
      <c r="A46" s="10">
        <v>3</v>
      </c>
      <c r="B46" s="10" t="str">
        <f>VLOOKUP(A46,status!$A$2:$B$19,2,FALSE)</f>
        <v>排泄</v>
      </c>
      <c r="C46" s="10">
        <v>10</v>
      </c>
      <c r="D46" s="10">
        <v>14</v>
      </c>
      <c r="E46" s="10" t="str">
        <f>VLOOKUP(D46,status!$A$2:$B$19,2,FALSE)</f>
        <v>毛並み</v>
      </c>
      <c r="F46" s="10">
        <v>-1</v>
      </c>
      <c r="G46" s="10">
        <v>4</v>
      </c>
      <c r="H46" s="10" t="str">
        <f>VLOOKUP(G46,status!$G$2:$H$5,2,FALSE)</f>
        <v>山道</v>
      </c>
      <c r="I46" s="13" t="s">
        <v>213</v>
      </c>
      <c r="J46" s="13" t="s">
        <v>96</v>
      </c>
      <c r="K46" s="16" t="s">
        <v>401</v>
      </c>
    </row>
    <row r="47" spans="1:11" ht="13.2" thickBot="1">
      <c r="A47" s="10">
        <v>3</v>
      </c>
      <c r="B47" s="10" t="str">
        <f>VLOOKUP(A47,status!$A$2:$B$19,2,FALSE)</f>
        <v>排泄</v>
      </c>
      <c r="C47" s="10">
        <v>10</v>
      </c>
      <c r="D47" s="10">
        <v>15</v>
      </c>
      <c r="E47" s="10" t="str">
        <f>VLOOKUP(D47,status!$A$2:$B$19,2,FALSE)</f>
        <v>愛嬌</v>
      </c>
      <c r="F47" s="10">
        <v>-1</v>
      </c>
      <c r="G47" s="10">
        <v>2</v>
      </c>
      <c r="H47" s="10" t="str">
        <f>VLOOKUP(G47,status!$G$2:$H$5,2,FALSE)</f>
        <v>公園</v>
      </c>
      <c r="I47" s="13" t="s">
        <v>214</v>
      </c>
      <c r="J47" s="13" t="s">
        <v>97</v>
      </c>
      <c r="K47" s="16" t="s">
        <v>402</v>
      </c>
    </row>
    <row r="48" spans="1:11" ht="13.2" thickBot="1">
      <c r="A48" s="10">
        <v>3</v>
      </c>
      <c r="B48" s="10" t="str">
        <f>VLOOKUP(A48,status!$A$2:$B$19,2,FALSE)</f>
        <v>排泄</v>
      </c>
      <c r="C48" s="10">
        <v>10</v>
      </c>
      <c r="D48" s="10">
        <v>16</v>
      </c>
      <c r="E48" s="10" t="str">
        <f>VLOOKUP(D48,status!$A$2:$B$19,2,FALSE)</f>
        <v>スタイル</v>
      </c>
      <c r="F48" s="10">
        <v>-1</v>
      </c>
      <c r="G48" s="10">
        <v>1</v>
      </c>
      <c r="H48" s="10" t="str">
        <f>VLOOKUP(G48,status!$G$2:$H$5,2,FALSE)</f>
        <v>市街地</v>
      </c>
      <c r="I48" s="13" t="s">
        <v>215</v>
      </c>
      <c r="J48" s="13" t="s">
        <v>343</v>
      </c>
      <c r="K48" s="16" t="s">
        <v>403</v>
      </c>
    </row>
    <row r="49" spans="1:11" ht="13.2" thickBot="1">
      <c r="A49" s="10">
        <v>3</v>
      </c>
      <c r="B49" s="10" t="str">
        <f>VLOOKUP(A49,status!$A$2:$B$19,2,FALSE)</f>
        <v>排泄</v>
      </c>
      <c r="C49" s="10">
        <v>10</v>
      </c>
      <c r="D49" s="10">
        <v>17</v>
      </c>
      <c r="E49" s="10" t="str">
        <f>VLOOKUP(D49,status!$A$2:$B$19,2,FALSE)</f>
        <v>知性</v>
      </c>
      <c r="F49" s="10">
        <v>-1</v>
      </c>
      <c r="G49" s="10">
        <v>1</v>
      </c>
      <c r="H49" s="10" t="str">
        <f>VLOOKUP(G49,status!$G$2:$H$5,2,FALSE)</f>
        <v>市街地</v>
      </c>
      <c r="I49" s="13" t="s">
        <v>216</v>
      </c>
      <c r="J49" s="13" t="s">
        <v>98</v>
      </c>
      <c r="K49" s="16" t="s">
        <v>404</v>
      </c>
    </row>
    <row r="50" spans="1:11" ht="13.2" thickBot="1">
      <c r="A50" s="10">
        <v>3</v>
      </c>
      <c r="B50" s="10" t="str">
        <f>VLOOKUP(A50,status!$A$2:$B$19,2,FALSE)</f>
        <v>排泄</v>
      </c>
      <c r="C50" s="10">
        <v>10</v>
      </c>
      <c r="D50" s="10">
        <v>18</v>
      </c>
      <c r="E50" s="10" t="str">
        <f>VLOOKUP(D50,status!$A$2:$B$19,2,FALSE)</f>
        <v>幸運</v>
      </c>
      <c r="F50" s="10">
        <v>-1</v>
      </c>
      <c r="G50" s="10">
        <v>3</v>
      </c>
      <c r="H50" s="10" t="str">
        <f>VLOOKUP(G50,status!$G$2:$H$5,2,FALSE)</f>
        <v>海辺</v>
      </c>
      <c r="I50" s="13" t="s">
        <v>217</v>
      </c>
      <c r="J50" s="13" t="s">
        <v>99</v>
      </c>
      <c r="K50" s="16" t="s">
        <v>405</v>
      </c>
    </row>
    <row r="51" spans="1:11" ht="13.2" thickBot="1">
      <c r="A51" s="10">
        <v>4</v>
      </c>
      <c r="B51" s="10" t="str">
        <f>VLOOKUP(A51,status!$A$2:$B$19,2,FALSE)</f>
        <v>興奮</v>
      </c>
      <c r="C51" s="10">
        <v>10</v>
      </c>
      <c r="D51" s="10">
        <v>5</v>
      </c>
      <c r="E51" s="10" t="str">
        <f>VLOOKUP(D51,status!$A$2:$B$19,2,FALSE)</f>
        <v>幸福感</v>
      </c>
      <c r="F51" s="10">
        <v>-10</v>
      </c>
      <c r="G51" s="10">
        <v>4</v>
      </c>
      <c r="H51" s="10" t="str">
        <f>VLOOKUP(G51,status!$G$2:$H$5,2,FALSE)</f>
        <v>山道</v>
      </c>
      <c r="I51" s="13" t="s">
        <v>218</v>
      </c>
      <c r="J51" s="13" t="s">
        <v>100</v>
      </c>
      <c r="K51" s="16" t="s">
        <v>406</v>
      </c>
    </row>
    <row r="52" spans="1:11" ht="13.2" thickBot="1">
      <c r="A52" s="10">
        <v>4</v>
      </c>
      <c r="B52" s="10" t="str">
        <f>VLOOKUP(A52,status!$A$2:$B$19,2,FALSE)</f>
        <v>興奮</v>
      </c>
      <c r="C52" s="10">
        <v>10</v>
      </c>
      <c r="D52" s="10">
        <v>6</v>
      </c>
      <c r="E52" s="10" t="str">
        <f>VLOOKUP(D52,status!$A$2:$B$19,2,FALSE)</f>
        <v>眠気</v>
      </c>
      <c r="F52" s="10">
        <v>-10</v>
      </c>
      <c r="G52" s="10">
        <v>1</v>
      </c>
      <c r="H52" s="10" t="str">
        <f>VLOOKUP(G52,status!$G$2:$H$5,2,FALSE)</f>
        <v>市街地</v>
      </c>
      <c r="I52" s="13" t="s">
        <v>219</v>
      </c>
      <c r="J52" s="13" t="s">
        <v>329</v>
      </c>
      <c r="K52" s="16" t="s">
        <v>407</v>
      </c>
    </row>
    <row r="53" spans="1:11" ht="13.2" thickBot="1">
      <c r="A53" s="10">
        <v>4</v>
      </c>
      <c r="B53" s="10" t="str">
        <f>VLOOKUP(A53,status!$A$2:$B$19,2,FALSE)</f>
        <v>興奮</v>
      </c>
      <c r="C53" s="10">
        <v>10</v>
      </c>
      <c r="D53" s="10">
        <v>7</v>
      </c>
      <c r="E53" s="10" t="str">
        <f>VLOOKUP(D53,status!$A$2:$B$19,2,FALSE)</f>
        <v>疲労</v>
      </c>
      <c r="F53" s="10">
        <v>-10</v>
      </c>
      <c r="G53" s="10">
        <v>2</v>
      </c>
      <c r="H53" s="10" t="str">
        <f>VLOOKUP(G53,status!$G$2:$H$5,2,FALSE)</f>
        <v>公園</v>
      </c>
      <c r="I53" s="13" t="s">
        <v>308</v>
      </c>
      <c r="J53" s="13" t="s">
        <v>344</v>
      </c>
      <c r="K53" s="16" t="s">
        <v>501</v>
      </c>
    </row>
    <row r="54" spans="1:11" ht="13.2" thickBot="1">
      <c r="A54" s="10">
        <v>4</v>
      </c>
      <c r="B54" s="10" t="str">
        <f>VLOOKUP(A54,status!$A$2:$B$19,2,FALSE)</f>
        <v>興奮</v>
      </c>
      <c r="C54" s="10">
        <v>10</v>
      </c>
      <c r="D54" s="10">
        <v>8</v>
      </c>
      <c r="E54" s="10" t="str">
        <f>VLOOKUP(D54,status!$A$2:$B$19,2,FALSE)</f>
        <v>活力</v>
      </c>
      <c r="F54" s="10">
        <v>10</v>
      </c>
      <c r="G54" s="10">
        <v>1</v>
      </c>
      <c r="H54" s="10" t="str">
        <f>VLOOKUP(G54,status!$G$2:$H$5,2,FALSE)</f>
        <v>市街地</v>
      </c>
      <c r="I54" s="13" t="s">
        <v>309</v>
      </c>
      <c r="J54" s="13" t="s">
        <v>101</v>
      </c>
      <c r="K54" s="16" t="s">
        <v>408</v>
      </c>
    </row>
    <row r="55" spans="1:11" ht="13.2" thickBot="1">
      <c r="A55" s="10">
        <v>4</v>
      </c>
      <c r="B55" s="10" t="str">
        <f>VLOOKUP(A55,status!$A$2:$B$19,2,FALSE)</f>
        <v>興奮</v>
      </c>
      <c r="C55" s="10">
        <v>10</v>
      </c>
      <c r="D55" s="10">
        <v>9</v>
      </c>
      <c r="E55" s="10" t="str">
        <f>VLOOKUP(D55,status!$A$2:$B$19,2,FALSE)</f>
        <v>規律</v>
      </c>
      <c r="F55" s="10">
        <v>-5</v>
      </c>
      <c r="G55" s="10">
        <v>3</v>
      </c>
      <c r="H55" s="10" t="str">
        <f>VLOOKUP(G55,status!$G$2:$H$5,2,FALSE)</f>
        <v>海辺</v>
      </c>
      <c r="I55" s="13" t="s">
        <v>310</v>
      </c>
      <c r="J55" s="13" t="s">
        <v>102</v>
      </c>
      <c r="K55" s="16" t="s">
        <v>409</v>
      </c>
    </row>
    <row r="56" spans="1:11" ht="13.2" thickBot="1">
      <c r="A56" s="10">
        <v>4</v>
      </c>
      <c r="B56" s="10" t="str">
        <f>VLOOKUP(A56,status!$A$2:$B$19,2,FALSE)</f>
        <v>興奮</v>
      </c>
      <c r="C56" s="10">
        <v>10</v>
      </c>
      <c r="D56" s="10">
        <v>10</v>
      </c>
      <c r="E56" s="10" t="str">
        <f>VLOOKUP(D56,status!$A$2:$B$19,2,FALSE)</f>
        <v>速度</v>
      </c>
      <c r="F56" s="10">
        <v>5</v>
      </c>
      <c r="G56" s="10">
        <v>3</v>
      </c>
      <c r="H56" s="10" t="str">
        <f>VLOOKUP(G56,status!$G$2:$H$5,2,FALSE)</f>
        <v>海辺</v>
      </c>
      <c r="I56" s="13" t="s">
        <v>220</v>
      </c>
      <c r="J56" s="13" t="s">
        <v>330</v>
      </c>
      <c r="K56" s="16" t="s">
        <v>410</v>
      </c>
    </row>
    <row r="57" spans="1:11" ht="13.2" thickBot="1">
      <c r="A57" s="10">
        <v>4</v>
      </c>
      <c r="B57" s="10" t="str">
        <f>VLOOKUP(A57,status!$A$2:$B$19,2,FALSE)</f>
        <v>興奮</v>
      </c>
      <c r="C57" s="10">
        <v>10</v>
      </c>
      <c r="D57" s="10">
        <v>11</v>
      </c>
      <c r="E57" s="10" t="str">
        <f>VLOOKUP(D57,status!$A$2:$B$19,2,FALSE)</f>
        <v>スタミナ</v>
      </c>
      <c r="F57" s="10">
        <v>5</v>
      </c>
      <c r="G57" s="10">
        <v>1</v>
      </c>
      <c r="H57" s="10" t="str">
        <f>VLOOKUP(G57,status!$G$2:$H$5,2,FALSE)</f>
        <v>市街地</v>
      </c>
      <c r="I57" s="13" t="s">
        <v>221</v>
      </c>
      <c r="J57" s="13" t="s">
        <v>103</v>
      </c>
      <c r="K57" s="16" t="s">
        <v>411</v>
      </c>
    </row>
    <row r="58" spans="1:11" ht="13.2" thickBot="1">
      <c r="A58" s="10">
        <v>4</v>
      </c>
      <c r="B58" s="10" t="str">
        <f>VLOOKUP(A58,status!$A$2:$B$19,2,FALSE)</f>
        <v>興奮</v>
      </c>
      <c r="C58" s="10">
        <v>10</v>
      </c>
      <c r="D58" s="10">
        <v>12</v>
      </c>
      <c r="E58" s="10" t="str">
        <f>VLOOKUP(D58,status!$A$2:$B$19,2,FALSE)</f>
        <v>バネ</v>
      </c>
      <c r="F58" s="10">
        <v>5</v>
      </c>
      <c r="G58" s="10">
        <v>4</v>
      </c>
      <c r="H58" s="10" t="str">
        <f>VLOOKUP(G58,status!$G$2:$H$5,2,FALSE)</f>
        <v>山道</v>
      </c>
      <c r="I58" s="13" t="s">
        <v>222</v>
      </c>
      <c r="J58" s="13" t="s">
        <v>104</v>
      </c>
      <c r="K58" s="16" t="s">
        <v>412</v>
      </c>
    </row>
    <row r="59" spans="1:11" ht="13.2" thickBot="1">
      <c r="A59" s="10">
        <v>4</v>
      </c>
      <c r="B59" s="10" t="str">
        <f>VLOOKUP(A59,status!$A$2:$B$19,2,FALSE)</f>
        <v>興奮</v>
      </c>
      <c r="C59" s="10">
        <v>10</v>
      </c>
      <c r="D59" s="10">
        <v>13</v>
      </c>
      <c r="E59" s="10" t="str">
        <f>VLOOKUP(D59,status!$A$2:$B$19,2,FALSE)</f>
        <v>集中力</v>
      </c>
      <c r="F59" s="10">
        <v>-5</v>
      </c>
      <c r="G59" s="10">
        <v>2</v>
      </c>
      <c r="H59" s="10" t="str">
        <f>VLOOKUP(G59,status!$G$2:$H$5,2,FALSE)</f>
        <v>公園</v>
      </c>
      <c r="I59" s="13" t="s">
        <v>311</v>
      </c>
      <c r="J59" s="13" t="s">
        <v>105</v>
      </c>
      <c r="K59" s="16" t="s">
        <v>413</v>
      </c>
    </row>
    <row r="60" spans="1:11" ht="13.2" thickBot="1">
      <c r="A60" s="10">
        <v>4</v>
      </c>
      <c r="B60" s="10" t="str">
        <f>VLOOKUP(A60,status!$A$2:$B$19,2,FALSE)</f>
        <v>興奮</v>
      </c>
      <c r="C60" s="10">
        <v>10</v>
      </c>
      <c r="D60" s="10">
        <v>14</v>
      </c>
      <c r="E60" s="10" t="str">
        <f>VLOOKUP(D60,status!$A$2:$B$19,2,FALSE)</f>
        <v>毛並み</v>
      </c>
      <c r="F60" s="10">
        <v>-1</v>
      </c>
      <c r="G60" s="10">
        <v>1</v>
      </c>
      <c r="H60" s="10" t="str">
        <f>VLOOKUP(G60,status!$G$2:$H$5,2,FALSE)</f>
        <v>市街地</v>
      </c>
      <c r="I60" s="13" t="s">
        <v>223</v>
      </c>
      <c r="J60" s="13" t="s">
        <v>106</v>
      </c>
      <c r="K60" s="16" t="s">
        <v>414</v>
      </c>
    </row>
    <row r="61" spans="1:11" ht="13.2" thickBot="1">
      <c r="A61" s="10">
        <v>4</v>
      </c>
      <c r="B61" s="10" t="str">
        <f>VLOOKUP(A61,status!$A$2:$B$19,2,FALSE)</f>
        <v>興奮</v>
      </c>
      <c r="C61" s="10">
        <v>10</v>
      </c>
      <c r="D61" s="10">
        <v>15</v>
      </c>
      <c r="E61" s="10" t="str">
        <f>VLOOKUP(D61,status!$A$2:$B$19,2,FALSE)</f>
        <v>愛嬌</v>
      </c>
      <c r="F61" s="10">
        <v>1</v>
      </c>
      <c r="G61" s="10">
        <v>2</v>
      </c>
      <c r="H61" s="10" t="str">
        <f>VLOOKUP(G61,status!$G$2:$H$5,2,FALSE)</f>
        <v>公園</v>
      </c>
      <c r="I61" s="13" t="s">
        <v>224</v>
      </c>
      <c r="J61" s="13" t="s">
        <v>56</v>
      </c>
      <c r="K61" s="16" t="s">
        <v>502</v>
      </c>
    </row>
    <row r="62" spans="1:11" ht="13.2" thickBot="1">
      <c r="A62" s="10">
        <v>4</v>
      </c>
      <c r="B62" s="10" t="str">
        <f>VLOOKUP(A62,status!$A$2:$B$19,2,FALSE)</f>
        <v>興奮</v>
      </c>
      <c r="C62" s="10">
        <v>10</v>
      </c>
      <c r="D62" s="10">
        <v>16</v>
      </c>
      <c r="E62" s="10" t="str">
        <f>VLOOKUP(D62,status!$A$2:$B$19,2,FALSE)</f>
        <v>スタイル</v>
      </c>
      <c r="F62" s="10">
        <v>1</v>
      </c>
      <c r="G62" s="10">
        <v>1</v>
      </c>
      <c r="H62" s="10" t="str">
        <f>VLOOKUP(G62,status!$G$2:$H$5,2,FALSE)</f>
        <v>市街地</v>
      </c>
      <c r="I62" s="13" t="s">
        <v>298</v>
      </c>
      <c r="J62" s="13" t="s">
        <v>107</v>
      </c>
      <c r="K62" s="16" t="s">
        <v>415</v>
      </c>
    </row>
    <row r="63" spans="1:11" ht="13.2" thickBot="1">
      <c r="A63" s="10">
        <v>4</v>
      </c>
      <c r="B63" s="10" t="str">
        <f>VLOOKUP(A63,status!$A$2:$B$19,2,FALSE)</f>
        <v>興奮</v>
      </c>
      <c r="C63" s="10">
        <v>10</v>
      </c>
      <c r="D63" s="10">
        <v>17</v>
      </c>
      <c r="E63" s="10" t="str">
        <f>VLOOKUP(D63,status!$A$2:$B$19,2,FALSE)</f>
        <v>知性</v>
      </c>
      <c r="F63" s="10">
        <v>-1</v>
      </c>
      <c r="G63" s="10">
        <v>3</v>
      </c>
      <c r="H63" s="10" t="str">
        <f>VLOOKUP(G63,status!$G$2:$H$5,2,FALSE)</f>
        <v>海辺</v>
      </c>
      <c r="I63" s="13" t="s">
        <v>225</v>
      </c>
      <c r="J63" s="13" t="s">
        <v>108</v>
      </c>
      <c r="K63" s="16" t="s">
        <v>503</v>
      </c>
    </row>
    <row r="64" spans="1:11" ht="13.2" thickBot="1">
      <c r="A64" s="10">
        <v>4</v>
      </c>
      <c r="B64" s="10" t="str">
        <f>VLOOKUP(A64,status!$A$2:$B$19,2,FALSE)</f>
        <v>興奮</v>
      </c>
      <c r="C64" s="10">
        <v>10</v>
      </c>
      <c r="D64" s="10">
        <v>18</v>
      </c>
      <c r="E64" s="10" t="str">
        <f>VLOOKUP(D64,status!$A$2:$B$19,2,FALSE)</f>
        <v>幸運</v>
      </c>
      <c r="F64" s="10">
        <v>-1</v>
      </c>
      <c r="G64" s="10">
        <v>1</v>
      </c>
      <c r="H64" s="10" t="str">
        <f>VLOOKUP(G64,status!$G$2:$H$5,2,FALSE)</f>
        <v>市街地</v>
      </c>
      <c r="I64" s="13" t="s">
        <v>226</v>
      </c>
      <c r="J64" s="13" t="s">
        <v>331</v>
      </c>
      <c r="K64" s="16" t="s">
        <v>416</v>
      </c>
    </row>
    <row r="65" spans="1:11" ht="13.2" thickBot="1">
      <c r="A65" s="10">
        <v>5</v>
      </c>
      <c r="B65" s="10" t="str">
        <f>VLOOKUP(A65,status!$A$2:$B$19,2,FALSE)</f>
        <v>幸福感</v>
      </c>
      <c r="C65" s="10">
        <v>10</v>
      </c>
      <c r="D65" s="10">
        <v>6</v>
      </c>
      <c r="E65" s="10" t="str">
        <f>VLOOKUP(D65,status!$A$2:$B$19,2,FALSE)</f>
        <v>眠気</v>
      </c>
      <c r="F65" s="10">
        <v>10</v>
      </c>
      <c r="G65" s="10">
        <v>4</v>
      </c>
      <c r="H65" s="10" t="str">
        <f>VLOOKUP(G65,status!$G$2:$H$5,2,FALSE)</f>
        <v>山道</v>
      </c>
      <c r="I65" s="13" t="s">
        <v>227</v>
      </c>
      <c r="J65" s="13" t="s">
        <v>109</v>
      </c>
      <c r="K65" s="16" t="s">
        <v>417</v>
      </c>
    </row>
    <row r="66" spans="1:11" ht="13.2" thickBot="1">
      <c r="A66" s="10">
        <v>5</v>
      </c>
      <c r="B66" s="10" t="str">
        <f>VLOOKUP(A66,status!$A$2:$B$19,2,FALSE)</f>
        <v>幸福感</v>
      </c>
      <c r="C66" s="10">
        <v>10</v>
      </c>
      <c r="D66" s="10">
        <v>7</v>
      </c>
      <c r="E66" s="10" t="str">
        <f>VLOOKUP(D66,status!$A$2:$B$19,2,FALSE)</f>
        <v>疲労</v>
      </c>
      <c r="F66" s="10">
        <v>-10</v>
      </c>
      <c r="G66" s="10">
        <v>3</v>
      </c>
      <c r="H66" s="10" t="str">
        <f>VLOOKUP(G66,status!$G$2:$H$5,2,FALSE)</f>
        <v>海辺</v>
      </c>
      <c r="I66" s="13" t="s">
        <v>228</v>
      </c>
      <c r="J66" s="13" t="s">
        <v>110</v>
      </c>
      <c r="K66" s="16" t="s">
        <v>418</v>
      </c>
    </row>
    <row r="67" spans="1:11" ht="13.2" thickBot="1">
      <c r="A67" s="10">
        <v>5</v>
      </c>
      <c r="B67" s="10" t="str">
        <f>VLOOKUP(A67,status!$A$2:$B$19,2,FALSE)</f>
        <v>幸福感</v>
      </c>
      <c r="C67" s="10">
        <v>10</v>
      </c>
      <c r="D67" s="10">
        <v>8</v>
      </c>
      <c r="E67" s="10" t="str">
        <f>VLOOKUP(D67,status!$A$2:$B$19,2,FALSE)</f>
        <v>活力</v>
      </c>
      <c r="F67" s="10">
        <v>10</v>
      </c>
      <c r="G67" s="10">
        <v>1</v>
      </c>
      <c r="H67" s="10" t="str">
        <f>VLOOKUP(G67,status!$G$2:$H$5,2,FALSE)</f>
        <v>市街地</v>
      </c>
      <c r="I67" s="13" t="s">
        <v>229</v>
      </c>
      <c r="J67" s="13" t="s">
        <v>111</v>
      </c>
      <c r="K67" s="16" t="s">
        <v>419</v>
      </c>
    </row>
    <row r="68" spans="1:11" ht="13.2" thickBot="1">
      <c r="A68" s="10">
        <v>5</v>
      </c>
      <c r="B68" s="10" t="str">
        <f>VLOOKUP(A68,status!$A$2:$B$19,2,FALSE)</f>
        <v>幸福感</v>
      </c>
      <c r="C68" s="10">
        <v>10</v>
      </c>
      <c r="D68" s="10">
        <v>9</v>
      </c>
      <c r="E68" s="10" t="str">
        <f>VLOOKUP(D68,status!$A$2:$B$19,2,FALSE)</f>
        <v>規律</v>
      </c>
      <c r="F68" s="10">
        <v>5</v>
      </c>
      <c r="G68" s="10">
        <v>1</v>
      </c>
      <c r="H68" s="10" t="str">
        <f>VLOOKUP(G68,status!$G$2:$H$5,2,FALSE)</f>
        <v>市街地</v>
      </c>
      <c r="I68" s="13" t="s">
        <v>230</v>
      </c>
      <c r="J68" s="13" t="s">
        <v>345</v>
      </c>
      <c r="K68" s="16" t="s">
        <v>420</v>
      </c>
    </row>
    <row r="69" spans="1:11" ht="13.2" thickBot="1">
      <c r="A69" s="10">
        <v>5</v>
      </c>
      <c r="B69" s="10" t="str">
        <f>VLOOKUP(A69,status!$A$2:$B$19,2,FALSE)</f>
        <v>幸福感</v>
      </c>
      <c r="C69" s="10">
        <v>10</v>
      </c>
      <c r="D69" s="10">
        <v>10</v>
      </c>
      <c r="E69" s="10" t="str">
        <f>VLOOKUP(D69,status!$A$2:$B$19,2,FALSE)</f>
        <v>速度</v>
      </c>
      <c r="F69" s="10">
        <v>5</v>
      </c>
      <c r="G69" s="10">
        <v>3</v>
      </c>
      <c r="H69" s="10" t="str">
        <f>VLOOKUP(G69,status!$G$2:$H$5,2,FALSE)</f>
        <v>海辺</v>
      </c>
      <c r="I69" s="13" t="s">
        <v>231</v>
      </c>
      <c r="J69" s="13" t="s">
        <v>112</v>
      </c>
      <c r="K69" s="16" t="s">
        <v>421</v>
      </c>
    </row>
    <row r="70" spans="1:11" ht="13.2" thickBot="1">
      <c r="A70" s="10">
        <v>5</v>
      </c>
      <c r="B70" s="10" t="str">
        <f>VLOOKUP(A70,status!$A$2:$B$19,2,FALSE)</f>
        <v>幸福感</v>
      </c>
      <c r="C70" s="10">
        <v>10</v>
      </c>
      <c r="D70" s="10">
        <v>11</v>
      </c>
      <c r="E70" s="10" t="str">
        <f>VLOOKUP(D70,status!$A$2:$B$19,2,FALSE)</f>
        <v>スタミナ</v>
      </c>
      <c r="F70" s="10">
        <v>5</v>
      </c>
      <c r="G70" s="10">
        <v>3</v>
      </c>
      <c r="H70" s="10" t="str">
        <f>VLOOKUP(G70,status!$G$2:$H$5,2,FALSE)</f>
        <v>海辺</v>
      </c>
      <c r="I70" s="13" t="s">
        <v>232</v>
      </c>
      <c r="J70" s="13" t="s">
        <v>113</v>
      </c>
      <c r="K70" s="16" t="s">
        <v>422</v>
      </c>
    </row>
    <row r="71" spans="1:11" ht="13.2" thickBot="1">
      <c r="A71" s="10">
        <v>5</v>
      </c>
      <c r="B71" s="10" t="str">
        <f>VLOOKUP(A71,status!$A$2:$B$19,2,FALSE)</f>
        <v>幸福感</v>
      </c>
      <c r="C71" s="10">
        <v>10</v>
      </c>
      <c r="D71" s="10">
        <v>12</v>
      </c>
      <c r="E71" s="10" t="str">
        <f>VLOOKUP(D71,status!$A$2:$B$19,2,FALSE)</f>
        <v>バネ</v>
      </c>
      <c r="F71" s="10">
        <v>5</v>
      </c>
      <c r="G71" s="10">
        <v>3</v>
      </c>
      <c r="H71" s="10" t="str">
        <f>VLOOKUP(G71,status!$G$2:$H$5,2,FALSE)</f>
        <v>海辺</v>
      </c>
      <c r="I71" s="13" t="s">
        <v>233</v>
      </c>
      <c r="J71" s="13" t="s">
        <v>114</v>
      </c>
      <c r="K71" s="16" t="s">
        <v>423</v>
      </c>
    </row>
    <row r="72" spans="1:11" ht="13.2" thickBot="1">
      <c r="A72" s="10">
        <v>5</v>
      </c>
      <c r="B72" s="10" t="str">
        <f>VLOOKUP(A72,status!$A$2:$B$19,2,FALSE)</f>
        <v>幸福感</v>
      </c>
      <c r="C72" s="10">
        <v>10</v>
      </c>
      <c r="D72" s="10">
        <v>13</v>
      </c>
      <c r="E72" s="10" t="str">
        <f>VLOOKUP(D72,status!$A$2:$B$19,2,FALSE)</f>
        <v>集中力</v>
      </c>
      <c r="F72" s="10">
        <v>5</v>
      </c>
      <c r="G72" s="10">
        <v>3</v>
      </c>
      <c r="H72" s="10" t="str">
        <f>VLOOKUP(G72,status!$G$2:$H$5,2,FALSE)</f>
        <v>海辺</v>
      </c>
      <c r="I72" s="13" t="s">
        <v>234</v>
      </c>
      <c r="J72" s="13" t="s">
        <v>115</v>
      </c>
      <c r="K72" s="16" t="s">
        <v>424</v>
      </c>
    </row>
    <row r="73" spans="1:11" ht="13.2" thickBot="1">
      <c r="A73" s="10">
        <v>5</v>
      </c>
      <c r="B73" s="10" t="str">
        <f>VLOOKUP(A73,status!$A$2:$B$19,2,FALSE)</f>
        <v>幸福感</v>
      </c>
      <c r="C73" s="10">
        <v>10</v>
      </c>
      <c r="D73" s="10">
        <v>14</v>
      </c>
      <c r="E73" s="10" t="str">
        <f>VLOOKUP(D73,status!$A$2:$B$19,2,FALSE)</f>
        <v>毛並み</v>
      </c>
      <c r="F73" s="10">
        <v>1</v>
      </c>
      <c r="G73" s="10">
        <v>4</v>
      </c>
      <c r="H73" s="10" t="str">
        <f>VLOOKUP(G73,status!$G$2:$H$5,2,FALSE)</f>
        <v>山道</v>
      </c>
      <c r="I73" s="13" t="s">
        <v>235</v>
      </c>
      <c r="J73" s="13" t="s">
        <v>116</v>
      </c>
      <c r="K73" s="16" t="s">
        <v>425</v>
      </c>
    </row>
    <row r="74" spans="1:11" ht="13.2" thickBot="1">
      <c r="A74" s="10">
        <v>5</v>
      </c>
      <c r="B74" s="10" t="str">
        <f>VLOOKUP(A74,status!$A$2:$B$19,2,FALSE)</f>
        <v>幸福感</v>
      </c>
      <c r="C74" s="10">
        <v>10</v>
      </c>
      <c r="D74" s="10">
        <v>15</v>
      </c>
      <c r="E74" s="10" t="str">
        <f>VLOOKUP(D74,status!$A$2:$B$19,2,FALSE)</f>
        <v>愛嬌</v>
      </c>
      <c r="F74" s="10">
        <v>1</v>
      </c>
      <c r="G74" s="10">
        <v>4</v>
      </c>
      <c r="H74" s="10" t="str">
        <f>VLOOKUP(G74,status!$G$2:$H$5,2,FALSE)</f>
        <v>山道</v>
      </c>
      <c r="I74" s="13" t="s">
        <v>236</v>
      </c>
      <c r="J74" s="13" t="s">
        <v>117</v>
      </c>
      <c r="K74" s="16" t="s">
        <v>426</v>
      </c>
    </row>
    <row r="75" spans="1:11" ht="13.2" thickBot="1">
      <c r="A75" s="10">
        <v>5</v>
      </c>
      <c r="B75" s="10" t="str">
        <f>VLOOKUP(A75,status!$A$2:$B$19,2,FALSE)</f>
        <v>幸福感</v>
      </c>
      <c r="C75" s="10">
        <v>10</v>
      </c>
      <c r="D75" s="10">
        <v>16</v>
      </c>
      <c r="E75" s="10" t="str">
        <f>VLOOKUP(D75,status!$A$2:$B$19,2,FALSE)</f>
        <v>スタイル</v>
      </c>
      <c r="F75" s="10">
        <v>1</v>
      </c>
      <c r="G75" s="10">
        <v>4</v>
      </c>
      <c r="H75" s="10" t="str">
        <f>VLOOKUP(G75,status!$G$2:$H$5,2,FALSE)</f>
        <v>山道</v>
      </c>
      <c r="I75" s="13" t="s">
        <v>237</v>
      </c>
      <c r="J75" s="13" t="s">
        <v>118</v>
      </c>
      <c r="K75" s="16" t="s">
        <v>427</v>
      </c>
    </row>
    <row r="76" spans="1:11" ht="13.2" thickBot="1">
      <c r="A76" s="10">
        <v>5</v>
      </c>
      <c r="B76" s="10" t="str">
        <f>VLOOKUP(A76,status!$A$2:$B$19,2,FALSE)</f>
        <v>幸福感</v>
      </c>
      <c r="C76" s="10">
        <v>10</v>
      </c>
      <c r="D76" s="10">
        <v>17</v>
      </c>
      <c r="E76" s="10" t="str">
        <f>VLOOKUP(D76,status!$A$2:$B$19,2,FALSE)</f>
        <v>知性</v>
      </c>
      <c r="F76" s="10">
        <v>1</v>
      </c>
      <c r="G76" s="10">
        <v>4</v>
      </c>
      <c r="H76" s="10" t="str">
        <f>VLOOKUP(G76,status!$G$2:$H$5,2,FALSE)</f>
        <v>山道</v>
      </c>
      <c r="I76" s="13" t="s">
        <v>238</v>
      </c>
      <c r="J76" s="13" t="s">
        <v>119</v>
      </c>
      <c r="K76" s="16" t="s">
        <v>428</v>
      </c>
    </row>
    <row r="77" spans="1:11" ht="13.2" thickBot="1">
      <c r="A77" s="10">
        <v>5</v>
      </c>
      <c r="B77" s="10" t="str">
        <f>VLOOKUP(A77,status!$A$2:$B$19,2,FALSE)</f>
        <v>幸福感</v>
      </c>
      <c r="C77" s="10">
        <v>10</v>
      </c>
      <c r="D77" s="10">
        <v>18</v>
      </c>
      <c r="E77" s="10" t="str">
        <f>VLOOKUP(D77,status!$A$2:$B$19,2,FALSE)</f>
        <v>幸運</v>
      </c>
      <c r="F77" s="10">
        <v>1</v>
      </c>
      <c r="G77" s="10">
        <v>2</v>
      </c>
      <c r="H77" s="10" t="str">
        <f>VLOOKUP(G77,status!$G$2:$H$5,2,FALSE)</f>
        <v>公園</v>
      </c>
      <c r="I77" s="13" t="s">
        <v>239</v>
      </c>
      <c r="J77" s="13" t="s">
        <v>346</v>
      </c>
      <c r="K77" s="16" t="s">
        <v>504</v>
      </c>
    </row>
    <row r="78" spans="1:11" ht="13.2" thickBot="1">
      <c r="A78" s="10">
        <v>6</v>
      </c>
      <c r="B78" s="10" t="str">
        <f>VLOOKUP(A78,status!$A$2:$B$19,2,FALSE)</f>
        <v>眠気</v>
      </c>
      <c r="C78" s="10">
        <v>10</v>
      </c>
      <c r="D78" s="10">
        <v>7</v>
      </c>
      <c r="E78" s="10" t="str">
        <f>VLOOKUP(D78,status!$A$2:$B$19,2,FALSE)</f>
        <v>疲労</v>
      </c>
      <c r="F78" s="10">
        <v>10</v>
      </c>
      <c r="G78" s="10">
        <v>2</v>
      </c>
      <c r="H78" s="10" t="str">
        <f>VLOOKUP(G78,status!$G$2:$H$5,2,FALSE)</f>
        <v>公園</v>
      </c>
      <c r="I78" s="13" t="s">
        <v>299</v>
      </c>
      <c r="J78" s="13" t="s">
        <v>347</v>
      </c>
      <c r="K78" s="16" t="s">
        <v>429</v>
      </c>
    </row>
    <row r="79" spans="1:11" ht="13.2" thickBot="1">
      <c r="A79" s="10">
        <v>6</v>
      </c>
      <c r="B79" s="10" t="str">
        <f>VLOOKUP(A79,status!$A$2:$B$19,2,FALSE)</f>
        <v>眠気</v>
      </c>
      <c r="C79" s="10">
        <v>10</v>
      </c>
      <c r="D79" s="10">
        <v>8</v>
      </c>
      <c r="E79" s="10" t="str">
        <f>VLOOKUP(D79,status!$A$2:$B$19,2,FALSE)</f>
        <v>活力</v>
      </c>
      <c r="F79" s="10">
        <v>-10</v>
      </c>
      <c r="G79" s="10">
        <v>1</v>
      </c>
      <c r="H79" s="10" t="str">
        <f>VLOOKUP(G79,status!$G$2:$H$5,2,FALSE)</f>
        <v>市街地</v>
      </c>
      <c r="I79" s="13" t="s">
        <v>312</v>
      </c>
      <c r="J79" s="13" t="s">
        <v>120</v>
      </c>
      <c r="K79" s="16" t="s">
        <v>430</v>
      </c>
    </row>
    <row r="80" spans="1:11" ht="13.2" thickBot="1">
      <c r="A80" s="10">
        <v>6</v>
      </c>
      <c r="B80" s="10" t="str">
        <f>VLOOKUP(A80,status!$A$2:$B$19,2,FALSE)</f>
        <v>眠気</v>
      </c>
      <c r="C80" s="10">
        <v>10</v>
      </c>
      <c r="D80" s="10">
        <v>9</v>
      </c>
      <c r="E80" s="10" t="str">
        <f>VLOOKUP(D80,status!$A$2:$B$19,2,FALSE)</f>
        <v>規律</v>
      </c>
      <c r="F80" s="10">
        <v>-5</v>
      </c>
      <c r="G80" s="10">
        <v>2</v>
      </c>
      <c r="H80" s="10" t="str">
        <f>VLOOKUP(G80,status!$G$2:$H$5,2,FALSE)</f>
        <v>公園</v>
      </c>
      <c r="I80" s="13" t="s">
        <v>313</v>
      </c>
      <c r="J80" s="13" t="s">
        <v>348</v>
      </c>
      <c r="K80" s="16" t="s">
        <v>505</v>
      </c>
    </row>
    <row r="81" spans="1:11" ht="13.2" thickBot="1">
      <c r="A81" s="10">
        <v>6</v>
      </c>
      <c r="B81" s="10" t="str">
        <f>VLOOKUP(A81,status!$A$2:$B$19,2,FALSE)</f>
        <v>眠気</v>
      </c>
      <c r="C81" s="10">
        <v>10</v>
      </c>
      <c r="D81" s="10">
        <v>10</v>
      </c>
      <c r="E81" s="10" t="str">
        <f>VLOOKUP(D81,status!$A$2:$B$19,2,FALSE)</f>
        <v>速度</v>
      </c>
      <c r="F81" s="10">
        <v>-5</v>
      </c>
      <c r="G81" s="10">
        <v>3</v>
      </c>
      <c r="H81" s="10" t="str">
        <f>VLOOKUP(G81,status!$G$2:$H$5,2,FALSE)</f>
        <v>海辺</v>
      </c>
      <c r="I81" s="13" t="s">
        <v>240</v>
      </c>
      <c r="J81" s="13" t="s">
        <v>121</v>
      </c>
      <c r="K81" s="16" t="s">
        <v>431</v>
      </c>
    </row>
    <row r="82" spans="1:11" ht="13.2" thickBot="1">
      <c r="A82" s="10">
        <v>6</v>
      </c>
      <c r="B82" s="10" t="str">
        <f>VLOOKUP(A82,status!$A$2:$B$19,2,FALSE)</f>
        <v>眠気</v>
      </c>
      <c r="C82" s="10">
        <v>10</v>
      </c>
      <c r="D82" s="10">
        <v>11</v>
      </c>
      <c r="E82" s="10" t="str">
        <f>VLOOKUP(D82,status!$A$2:$B$19,2,FALSE)</f>
        <v>スタミナ</v>
      </c>
      <c r="F82" s="10">
        <v>-5</v>
      </c>
      <c r="G82" s="10">
        <v>1</v>
      </c>
      <c r="H82" s="10" t="str">
        <f>VLOOKUP(G82,status!$G$2:$H$5,2,FALSE)</f>
        <v>市街地</v>
      </c>
      <c r="I82" s="13" t="s">
        <v>241</v>
      </c>
      <c r="J82" s="13" t="s">
        <v>122</v>
      </c>
      <c r="K82" s="16" t="s">
        <v>432</v>
      </c>
    </row>
    <row r="83" spans="1:11" ht="13.2" thickBot="1">
      <c r="A83" s="10">
        <v>6</v>
      </c>
      <c r="B83" s="10" t="str">
        <f>VLOOKUP(A83,status!$A$2:$B$19,2,FALSE)</f>
        <v>眠気</v>
      </c>
      <c r="C83" s="10">
        <v>10</v>
      </c>
      <c r="D83" s="10">
        <v>12</v>
      </c>
      <c r="E83" s="10" t="str">
        <f>VLOOKUP(D83,status!$A$2:$B$19,2,FALSE)</f>
        <v>バネ</v>
      </c>
      <c r="F83" s="10">
        <v>-5</v>
      </c>
      <c r="G83" s="10">
        <v>2</v>
      </c>
      <c r="H83" s="10" t="str">
        <f>VLOOKUP(G83,status!$G$2:$H$5,2,FALSE)</f>
        <v>公園</v>
      </c>
      <c r="I83" s="13" t="s">
        <v>242</v>
      </c>
      <c r="J83" s="13" t="s">
        <v>123</v>
      </c>
      <c r="K83" s="16" t="s">
        <v>433</v>
      </c>
    </row>
    <row r="84" spans="1:11" ht="13.2" thickBot="1">
      <c r="A84" s="10">
        <v>6</v>
      </c>
      <c r="B84" s="10" t="str">
        <f>VLOOKUP(A84,status!$A$2:$B$19,2,FALSE)</f>
        <v>眠気</v>
      </c>
      <c r="C84" s="10">
        <v>10</v>
      </c>
      <c r="D84" s="10">
        <v>13</v>
      </c>
      <c r="E84" s="10" t="str">
        <f>VLOOKUP(D84,status!$A$2:$B$19,2,FALSE)</f>
        <v>集中力</v>
      </c>
      <c r="F84" s="10">
        <v>-5</v>
      </c>
      <c r="G84" s="10">
        <v>4</v>
      </c>
      <c r="H84" s="10" t="str">
        <f>VLOOKUP(G84,status!$G$2:$H$5,2,FALSE)</f>
        <v>山道</v>
      </c>
      <c r="I84" s="13" t="s">
        <v>314</v>
      </c>
      <c r="J84" s="13" t="s">
        <v>124</v>
      </c>
      <c r="K84" s="16" t="s">
        <v>506</v>
      </c>
    </row>
    <row r="85" spans="1:11" ht="13.2" thickBot="1">
      <c r="A85" s="10">
        <v>6</v>
      </c>
      <c r="B85" s="10" t="str">
        <f>VLOOKUP(A85,status!$A$2:$B$19,2,FALSE)</f>
        <v>眠気</v>
      </c>
      <c r="C85" s="10">
        <v>10</v>
      </c>
      <c r="D85" s="10">
        <v>14</v>
      </c>
      <c r="E85" s="10" t="str">
        <f>VLOOKUP(D85,status!$A$2:$B$19,2,FALSE)</f>
        <v>毛並み</v>
      </c>
      <c r="F85" s="10">
        <v>-1</v>
      </c>
      <c r="G85" s="10">
        <v>1</v>
      </c>
      <c r="H85" s="10" t="str">
        <f>VLOOKUP(G85,status!$G$2:$H$5,2,FALSE)</f>
        <v>市街地</v>
      </c>
      <c r="I85" s="13" t="s">
        <v>315</v>
      </c>
      <c r="J85" s="13" t="s">
        <v>125</v>
      </c>
      <c r="K85" s="16" t="s">
        <v>507</v>
      </c>
    </row>
    <row r="86" spans="1:11" ht="13.2" thickBot="1">
      <c r="A86" s="10">
        <v>6</v>
      </c>
      <c r="B86" s="10" t="str">
        <f>VLOOKUP(A86,status!$A$2:$B$19,2,FALSE)</f>
        <v>眠気</v>
      </c>
      <c r="C86" s="10">
        <v>10</v>
      </c>
      <c r="D86" s="10">
        <v>15</v>
      </c>
      <c r="E86" s="10" t="str">
        <f>VLOOKUP(D86,status!$A$2:$B$19,2,FALSE)</f>
        <v>愛嬌</v>
      </c>
      <c r="F86" s="10">
        <v>-1</v>
      </c>
      <c r="G86" s="10">
        <v>1</v>
      </c>
      <c r="H86" s="10" t="str">
        <f>VLOOKUP(G86,status!$G$2:$H$5,2,FALSE)</f>
        <v>市街地</v>
      </c>
      <c r="I86" s="13" t="s">
        <v>243</v>
      </c>
      <c r="J86" s="13" t="s">
        <v>349</v>
      </c>
      <c r="K86" s="16" t="s">
        <v>434</v>
      </c>
    </row>
    <row r="87" spans="1:11" ht="13.2" thickBot="1">
      <c r="A87" s="10">
        <v>6</v>
      </c>
      <c r="B87" s="10" t="str">
        <f>VLOOKUP(A87,status!$A$2:$B$19,2,FALSE)</f>
        <v>眠気</v>
      </c>
      <c r="C87" s="10">
        <v>10</v>
      </c>
      <c r="D87" s="10">
        <v>16</v>
      </c>
      <c r="E87" s="10" t="str">
        <f>VLOOKUP(D87,status!$A$2:$B$19,2,FALSE)</f>
        <v>スタイル</v>
      </c>
      <c r="F87" s="10">
        <v>-1</v>
      </c>
      <c r="G87" s="10">
        <v>3</v>
      </c>
      <c r="H87" s="10" t="str">
        <f>VLOOKUP(G87,status!$G$2:$H$5,2,FALSE)</f>
        <v>海辺</v>
      </c>
      <c r="I87" s="13" t="s">
        <v>244</v>
      </c>
      <c r="J87" s="13" t="s">
        <v>126</v>
      </c>
      <c r="K87" s="16" t="s">
        <v>435</v>
      </c>
    </row>
    <row r="88" spans="1:11" ht="13.2" thickBot="1">
      <c r="A88" s="10">
        <v>6</v>
      </c>
      <c r="B88" s="10" t="str">
        <f>VLOOKUP(A88,status!$A$2:$B$19,2,FALSE)</f>
        <v>眠気</v>
      </c>
      <c r="C88" s="10">
        <v>10</v>
      </c>
      <c r="D88" s="10">
        <v>17</v>
      </c>
      <c r="E88" s="10" t="str">
        <f>VLOOKUP(D88,status!$A$2:$B$19,2,FALSE)</f>
        <v>知性</v>
      </c>
      <c r="F88" s="10">
        <v>-1</v>
      </c>
      <c r="G88" s="10">
        <v>4</v>
      </c>
      <c r="H88" s="10" t="str">
        <f>VLOOKUP(G88,status!$G$2:$H$5,2,FALSE)</f>
        <v>山道</v>
      </c>
      <c r="I88" s="13" t="s">
        <v>245</v>
      </c>
      <c r="J88" s="13" t="s">
        <v>350</v>
      </c>
      <c r="K88" s="16" t="s">
        <v>436</v>
      </c>
    </row>
    <row r="89" spans="1:11" ht="13.2" thickBot="1">
      <c r="A89" s="10">
        <v>6</v>
      </c>
      <c r="B89" s="10" t="str">
        <f>VLOOKUP(A89,status!$A$2:$B$19,2,FALSE)</f>
        <v>眠気</v>
      </c>
      <c r="C89" s="10">
        <v>10</v>
      </c>
      <c r="D89" s="10">
        <v>18</v>
      </c>
      <c r="E89" s="10" t="str">
        <f>VLOOKUP(D89,status!$A$2:$B$19,2,FALSE)</f>
        <v>幸運</v>
      </c>
      <c r="F89" s="10">
        <v>-1</v>
      </c>
      <c r="G89" s="10">
        <v>3</v>
      </c>
      <c r="H89" s="10" t="str">
        <f>VLOOKUP(G89,status!$G$2:$H$5,2,FALSE)</f>
        <v>海辺</v>
      </c>
      <c r="I89" s="13" t="s">
        <v>246</v>
      </c>
      <c r="J89" s="13" t="s">
        <v>127</v>
      </c>
      <c r="K89" s="16" t="s">
        <v>437</v>
      </c>
    </row>
    <row r="90" spans="1:11" ht="13.2" thickBot="1">
      <c r="A90" s="10">
        <v>7</v>
      </c>
      <c r="B90" s="10" t="str">
        <f>VLOOKUP(A90,status!$A$2:$B$19,2,FALSE)</f>
        <v>疲労</v>
      </c>
      <c r="C90" s="10">
        <v>10</v>
      </c>
      <c r="D90" s="10">
        <v>8</v>
      </c>
      <c r="E90" s="10" t="str">
        <f>VLOOKUP(D90,status!$A$2:$B$19,2,FALSE)</f>
        <v>活力</v>
      </c>
      <c r="F90" s="10">
        <v>-10</v>
      </c>
      <c r="G90" s="10">
        <v>4</v>
      </c>
      <c r="H90" s="10" t="str">
        <f>VLOOKUP(G90,status!$G$2:$H$5,2,FALSE)</f>
        <v>山道</v>
      </c>
      <c r="I90" s="13" t="s">
        <v>247</v>
      </c>
      <c r="J90" s="13" t="s">
        <v>128</v>
      </c>
      <c r="K90" s="16" t="s">
        <v>438</v>
      </c>
    </row>
    <row r="91" spans="1:11" ht="13.2" thickBot="1">
      <c r="A91" s="10">
        <v>7</v>
      </c>
      <c r="B91" s="10" t="str">
        <f>VLOOKUP(A91,status!$A$2:$B$19,2,FALSE)</f>
        <v>疲労</v>
      </c>
      <c r="C91" s="10">
        <v>10</v>
      </c>
      <c r="D91" s="10">
        <v>9</v>
      </c>
      <c r="E91" s="10" t="str">
        <f>VLOOKUP(D91,status!$A$2:$B$19,2,FALSE)</f>
        <v>規律</v>
      </c>
      <c r="F91" s="10">
        <v>5</v>
      </c>
      <c r="G91" s="10">
        <v>1</v>
      </c>
      <c r="H91" s="10" t="str">
        <f>VLOOKUP(G91,status!$G$2:$H$5,2,FALSE)</f>
        <v>市街地</v>
      </c>
      <c r="I91" s="13" t="s">
        <v>248</v>
      </c>
      <c r="J91" s="13" t="s">
        <v>129</v>
      </c>
      <c r="K91" s="16" t="s">
        <v>439</v>
      </c>
    </row>
    <row r="92" spans="1:11" ht="13.2" thickBot="1">
      <c r="A92" s="10">
        <v>7</v>
      </c>
      <c r="B92" s="10" t="str">
        <f>VLOOKUP(A92,status!$A$2:$B$19,2,FALSE)</f>
        <v>疲労</v>
      </c>
      <c r="C92" s="10">
        <v>10</v>
      </c>
      <c r="D92" s="10">
        <v>10</v>
      </c>
      <c r="E92" s="10" t="str">
        <f>VLOOKUP(D92,status!$A$2:$B$19,2,FALSE)</f>
        <v>速度</v>
      </c>
      <c r="F92" s="10">
        <v>5</v>
      </c>
      <c r="G92" s="10">
        <v>3</v>
      </c>
      <c r="H92" s="10" t="str">
        <f>VLOOKUP(G92,status!$G$2:$H$5,2,FALSE)</f>
        <v>海辺</v>
      </c>
      <c r="I92" s="13" t="s">
        <v>249</v>
      </c>
      <c r="J92" s="13" t="s">
        <v>351</v>
      </c>
      <c r="K92" s="16" t="s">
        <v>440</v>
      </c>
    </row>
    <row r="93" spans="1:11" ht="13.2" thickBot="1">
      <c r="A93" s="10">
        <v>7</v>
      </c>
      <c r="B93" s="10" t="str">
        <f>VLOOKUP(A93,status!$A$2:$B$19,2,FALSE)</f>
        <v>疲労</v>
      </c>
      <c r="C93" s="10">
        <v>10</v>
      </c>
      <c r="D93" s="10">
        <v>11</v>
      </c>
      <c r="E93" s="10" t="str">
        <f>VLOOKUP(D93,status!$A$2:$B$19,2,FALSE)</f>
        <v>スタミナ</v>
      </c>
      <c r="F93" s="10">
        <v>5</v>
      </c>
      <c r="G93" s="10">
        <v>1</v>
      </c>
      <c r="H93" s="10" t="str">
        <f>VLOOKUP(G93,status!$G$2:$H$5,2,FALSE)</f>
        <v>市街地</v>
      </c>
      <c r="I93" s="13" t="s">
        <v>250</v>
      </c>
      <c r="J93" s="13" t="s">
        <v>130</v>
      </c>
      <c r="K93" s="16" t="s">
        <v>441</v>
      </c>
    </row>
    <row r="94" spans="1:11" ht="13.2" thickBot="1">
      <c r="A94" s="10">
        <v>7</v>
      </c>
      <c r="B94" s="10" t="str">
        <f>VLOOKUP(A94,status!$A$2:$B$19,2,FALSE)</f>
        <v>疲労</v>
      </c>
      <c r="C94" s="10">
        <v>10</v>
      </c>
      <c r="D94" s="10">
        <v>12</v>
      </c>
      <c r="E94" s="10" t="str">
        <f>VLOOKUP(D94,status!$A$2:$B$19,2,FALSE)</f>
        <v>バネ</v>
      </c>
      <c r="F94" s="10">
        <v>5</v>
      </c>
      <c r="G94" s="10">
        <v>3</v>
      </c>
      <c r="H94" s="10" t="str">
        <f>VLOOKUP(G94,status!$G$2:$H$5,2,FALSE)</f>
        <v>海辺</v>
      </c>
      <c r="I94" s="13" t="s">
        <v>251</v>
      </c>
      <c r="J94" s="13" t="s">
        <v>131</v>
      </c>
      <c r="K94" s="16" t="s">
        <v>442</v>
      </c>
    </row>
    <row r="95" spans="1:11" ht="13.2" thickBot="1">
      <c r="A95" s="10">
        <v>7</v>
      </c>
      <c r="B95" s="10" t="str">
        <f>VLOOKUP(A95,status!$A$2:$B$19,2,FALSE)</f>
        <v>疲労</v>
      </c>
      <c r="C95" s="10">
        <v>10</v>
      </c>
      <c r="D95" s="10">
        <v>13</v>
      </c>
      <c r="E95" s="10" t="str">
        <f>VLOOKUP(D95,status!$A$2:$B$19,2,FALSE)</f>
        <v>集中力</v>
      </c>
      <c r="F95" s="10">
        <v>5</v>
      </c>
      <c r="G95" s="10">
        <v>4</v>
      </c>
      <c r="H95" s="10" t="str">
        <f>VLOOKUP(G95,status!$G$2:$H$5,2,FALSE)</f>
        <v>山道</v>
      </c>
      <c r="I95" s="13" t="s">
        <v>316</v>
      </c>
      <c r="J95" s="13" t="s">
        <v>352</v>
      </c>
      <c r="K95" s="16" t="s">
        <v>443</v>
      </c>
    </row>
    <row r="96" spans="1:11" ht="13.2" thickBot="1">
      <c r="A96" s="10">
        <v>7</v>
      </c>
      <c r="B96" s="10" t="str">
        <f>VLOOKUP(A96,status!$A$2:$B$19,2,FALSE)</f>
        <v>疲労</v>
      </c>
      <c r="C96" s="10">
        <v>10</v>
      </c>
      <c r="D96" s="10">
        <v>14</v>
      </c>
      <c r="E96" s="10" t="str">
        <f>VLOOKUP(D96,status!$A$2:$B$19,2,FALSE)</f>
        <v>毛並み</v>
      </c>
      <c r="F96" s="10">
        <v>-1</v>
      </c>
      <c r="G96" s="10">
        <v>2</v>
      </c>
      <c r="H96" s="10" t="str">
        <f>VLOOKUP(G96,status!$G$2:$H$5,2,FALSE)</f>
        <v>公園</v>
      </c>
      <c r="I96" s="13" t="s">
        <v>252</v>
      </c>
      <c r="J96" s="13" t="s">
        <v>132</v>
      </c>
      <c r="K96" s="16" t="s">
        <v>444</v>
      </c>
    </row>
    <row r="97" spans="1:11" ht="13.2" thickBot="1">
      <c r="A97" s="10">
        <v>7</v>
      </c>
      <c r="B97" s="10" t="str">
        <f>VLOOKUP(A97,status!$A$2:$B$19,2,FALSE)</f>
        <v>疲労</v>
      </c>
      <c r="C97" s="10">
        <v>10</v>
      </c>
      <c r="D97" s="10">
        <v>15</v>
      </c>
      <c r="E97" s="10" t="str">
        <f>VLOOKUP(D97,status!$A$2:$B$19,2,FALSE)</f>
        <v>愛嬌</v>
      </c>
      <c r="F97" s="10">
        <v>-1</v>
      </c>
      <c r="G97" s="10">
        <v>3</v>
      </c>
      <c r="H97" s="10" t="str">
        <f>VLOOKUP(G97,status!$G$2:$H$5,2,FALSE)</f>
        <v>海辺</v>
      </c>
      <c r="I97" s="13" t="s">
        <v>253</v>
      </c>
      <c r="J97" s="13" t="s">
        <v>133</v>
      </c>
      <c r="K97" s="16" t="s">
        <v>445</v>
      </c>
    </row>
    <row r="98" spans="1:11" ht="13.2" thickBot="1">
      <c r="A98" s="10">
        <v>7</v>
      </c>
      <c r="B98" s="10" t="str">
        <f>VLOOKUP(A98,status!$A$2:$B$19,2,FALSE)</f>
        <v>疲労</v>
      </c>
      <c r="C98" s="10">
        <v>10</v>
      </c>
      <c r="D98" s="10">
        <v>16</v>
      </c>
      <c r="E98" s="10" t="str">
        <f>VLOOKUP(D98,status!$A$2:$B$19,2,FALSE)</f>
        <v>スタイル</v>
      </c>
      <c r="F98" s="10">
        <v>-1</v>
      </c>
      <c r="G98" s="10">
        <v>4</v>
      </c>
      <c r="H98" s="10" t="str">
        <f>VLOOKUP(G98,status!$G$2:$H$5,2,FALSE)</f>
        <v>山道</v>
      </c>
      <c r="I98" s="13" t="s">
        <v>254</v>
      </c>
      <c r="J98" s="13" t="s">
        <v>134</v>
      </c>
      <c r="K98" s="16" t="s">
        <v>446</v>
      </c>
    </row>
    <row r="99" spans="1:11" ht="13.2" thickBot="1">
      <c r="A99" s="10">
        <v>7</v>
      </c>
      <c r="B99" s="10" t="str">
        <f>VLOOKUP(A99,status!$A$2:$B$19,2,FALSE)</f>
        <v>疲労</v>
      </c>
      <c r="C99" s="10">
        <v>10</v>
      </c>
      <c r="D99" s="10">
        <v>17</v>
      </c>
      <c r="E99" s="10" t="str">
        <f>VLOOKUP(D99,status!$A$2:$B$19,2,FALSE)</f>
        <v>知性</v>
      </c>
      <c r="F99" s="10">
        <v>1</v>
      </c>
      <c r="G99" s="10">
        <v>2</v>
      </c>
      <c r="H99" s="10" t="str">
        <f>VLOOKUP(G99,status!$G$2:$H$5,2,FALSE)</f>
        <v>公園</v>
      </c>
      <c r="I99" s="13" t="s">
        <v>317</v>
      </c>
      <c r="J99" s="13" t="s">
        <v>57</v>
      </c>
      <c r="K99" s="16" t="s">
        <v>508</v>
      </c>
    </row>
    <row r="100" spans="1:11" ht="13.2" thickBot="1">
      <c r="A100" s="10">
        <v>7</v>
      </c>
      <c r="B100" s="10" t="str">
        <f>VLOOKUP(A100,status!$A$2:$B$19,2,FALSE)</f>
        <v>疲労</v>
      </c>
      <c r="C100" s="10">
        <v>10</v>
      </c>
      <c r="D100" s="10">
        <v>18</v>
      </c>
      <c r="E100" s="10" t="str">
        <f>VLOOKUP(D100,status!$A$2:$B$19,2,FALSE)</f>
        <v>幸運</v>
      </c>
      <c r="F100" s="10">
        <v>1</v>
      </c>
      <c r="G100" s="10">
        <v>2</v>
      </c>
      <c r="H100" s="10" t="str">
        <f>VLOOKUP(G100,status!$G$2:$H$5,2,FALSE)</f>
        <v>公園</v>
      </c>
      <c r="I100" s="13" t="s">
        <v>300</v>
      </c>
      <c r="J100" s="13" t="s">
        <v>135</v>
      </c>
      <c r="K100" s="16" t="s">
        <v>509</v>
      </c>
    </row>
    <row r="101" spans="1:11" ht="13.2" thickBot="1">
      <c r="A101" s="10">
        <v>8</v>
      </c>
      <c r="B101" s="10" t="str">
        <f>VLOOKUP(A101,status!$A$2:$B$19,2,FALSE)</f>
        <v>活力</v>
      </c>
      <c r="C101" s="10">
        <v>10</v>
      </c>
      <c r="D101" s="10">
        <v>9</v>
      </c>
      <c r="E101" s="10" t="str">
        <f>VLOOKUP(D101,status!$A$2:$B$19,2,FALSE)</f>
        <v>規律</v>
      </c>
      <c r="F101" s="10">
        <v>5</v>
      </c>
      <c r="G101" s="10">
        <v>3</v>
      </c>
      <c r="H101" s="10" t="str">
        <f>VLOOKUP(G101,status!$G$2:$H$5,2,FALSE)</f>
        <v>海辺</v>
      </c>
      <c r="I101" s="13" t="s">
        <v>318</v>
      </c>
      <c r="J101" s="13" t="s">
        <v>136</v>
      </c>
      <c r="K101" s="16" t="s">
        <v>447</v>
      </c>
    </row>
    <row r="102" spans="1:11" ht="13.2" thickBot="1">
      <c r="A102" s="10">
        <v>8</v>
      </c>
      <c r="B102" s="10" t="str">
        <f>VLOOKUP(A102,status!$A$2:$B$19,2,FALSE)</f>
        <v>活力</v>
      </c>
      <c r="C102" s="10">
        <v>10</v>
      </c>
      <c r="D102" s="10">
        <v>10</v>
      </c>
      <c r="E102" s="10" t="str">
        <f>VLOOKUP(D102,status!$A$2:$B$19,2,FALSE)</f>
        <v>速度</v>
      </c>
      <c r="F102" s="10">
        <v>5</v>
      </c>
      <c r="G102" s="10">
        <v>1</v>
      </c>
      <c r="H102" s="10" t="str">
        <f>VLOOKUP(G102,status!$G$2:$H$5,2,FALSE)</f>
        <v>市街地</v>
      </c>
      <c r="I102" s="13" t="s">
        <v>255</v>
      </c>
      <c r="J102" s="13" t="s">
        <v>58</v>
      </c>
      <c r="K102" s="16" t="s">
        <v>510</v>
      </c>
    </row>
    <row r="103" spans="1:11" ht="13.2" thickBot="1">
      <c r="A103" s="10">
        <v>8</v>
      </c>
      <c r="B103" s="10" t="str">
        <f>VLOOKUP(A103,status!$A$2:$B$19,2,FALSE)</f>
        <v>活力</v>
      </c>
      <c r="C103" s="10">
        <v>10</v>
      </c>
      <c r="D103" s="10">
        <v>11</v>
      </c>
      <c r="E103" s="10" t="str">
        <f>VLOOKUP(D103,status!$A$2:$B$19,2,FALSE)</f>
        <v>スタミナ</v>
      </c>
      <c r="F103" s="10">
        <v>5</v>
      </c>
      <c r="G103" s="10">
        <v>2</v>
      </c>
      <c r="H103" s="10" t="str">
        <f>VLOOKUP(G103,status!$G$2:$H$5,2,FALSE)</f>
        <v>公園</v>
      </c>
      <c r="I103" s="13" t="s">
        <v>256</v>
      </c>
      <c r="J103" s="13" t="s">
        <v>137</v>
      </c>
      <c r="K103" s="16" t="s">
        <v>448</v>
      </c>
    </row>
    <row r="104" spans="1:11" ht="13.2" thickBot="1">
      <c r="A104" s="10">
        <v>8</v>
      </c>
      <c r="B104" s="10" t="str">
        <f>VLOOKUP(A104,status!$A$2:$B$19,2,FALSE)</f>
        <v>活力</v>
      </c>
      <c r="C104" s="10">
        <v>10</v>
      </c>
      <c r="D104" s="10">
        <v>12</v>
      </c>
      <c r="E104" s="10" t="str">
        <f>VLOOKUP(D104,status!$A$2:$B$19,2,FALSE)</f>
        <v>バネ</v>
      </c>
      <c r="F104" s="10">
        <v>5</v>
      </c>
      <c r="G104" s="10">
        <v>2</v>
      </c>
      <c r="H104" s="10" t="str">
        <f>VLOOKUP(G104,status!$G$2:$H$5,2,FALSE)</f>
        <v>公園</v>
      </c>
      <c r="I104" s="13" t="s">
        <v>257</v>
      </c>
      <c r="J104" s="13" t="s">
        <v>138</v>
      </c>
      <c r="K104" s="16" t="s">
        <v>449</v>
      </c>
    </row>
    <row r="105" spans="1:11" ht="13.2" thickBot="1">
      <c r="A105" s="10">
        <v>8</v>
      </c>
      <c r="B105" s="10" t="str">
        <f>VLOOKUP(A105,status!$A$2:$B$19,2,FALSE)</f>
        <v>活力</v>
      </c>
      <c r="C105" s="10">
        <v>10</v>
      </c>
      <c r="D105" s="10">
        <v>13</v>
      </c>
      <c r="E105" s="10" t="str">
        <f>VLOOKUP(D105,status!$A$2:$B$19,2,FALSE)</f>
        <v>集中力</v>
      </c>
      <c r="F105" s="10">
        <v>5</v>
      </c>
      <c r="G105" s="10">
        <v>2</v>
      </c>
      <c r="H105" s="10" t="str">
        <f>VLOOKUP(G105,status!$G$2:$H$5,2,FALSE)</f>
        <v>公園</v>
      </c>
      <c r="I105" s="13" t="s">
        <v>258</v>
      </c>
      <c r="J105" s="13" t="s">
        <v>139</v>
      </c>
      <c r="K105" s="16" t="s">
        <v>450</v>
      </c>
    </row>
    <row r="106" spans="1:11" ht="13.2" thickBot="1">
      <c r="A106" s="10">
        <v>8</v>
      </c>
      <c r="B106" s="10" t="str">
        <f>VLOOKUP(A106,status!$A$2:$B$19,2,FALSE)</f>
        <v>活力</v>
      </c>
      <c r="C106" s="10">
        <v>10</v>
      </c>
      <c r="D106" s="10">
        <v>14</v>
      </c>
      <c r="E106" s="10" t="str">
        <f>VLOOKUP(D106,status!$A$2:$B$19,2,FALSE)</f>
        <v>毛並み</v>
      </c>
      <c r="F106" s="10">
        <v>1</v>
      </c>
      <c r="G106" s="10">
        <v>1</v>
      </c>
      <c r="H106" s="10" t="str">
        <f>VLOOKUP(G106,status!$G$2:$H$5,2,FALSE)</f>
        <v>市街地</v>
      </c>
      <c r="I106" s="13" t="s">
        <v>259</v>
      </c>
      <c r="J106" s="13" t="s">
        <v>140</v>
      </c>
      <c r="K106" s="16" t="s">
        <v>451</v>
      </c>
    </row>
    <row r="107" spans="1:11" ht="13.2" thickBot="1">
      <c r="A107" s="10">
        <v>8</v>
      </c>
      <c r="B107" s="10" t="str">
        <f>VLOOKUP(A107,status!$A$2:$B$19,2,FALSE)</f>
        <v>活力</v>
      </c>
      <c r="C107" s="10">
        <v>10</v>
      </c>
      <c r="D107" s="10">
        <v>15</v>
      </c>
      <c r="E107" s="10" t="str">
        <f>VLOOKUP(D107,status!$A$2:$B$19,2,FALSE)</f>
        <v>愛嬌</v>
      </c>
      <c r="F107" s="10">
        <v>1</v>
      </c>
      <c r="G107" s="10">
        <v>1</v>
      </c>
      <c r="H107" s="10" t="str">
        <f>VLOOKUP(G107,status!$G$2:$H$5,2,FALSE)</f>
        <v>市街地</v>
      </c>
      <c r="I107" s="13" t="s">
        <v>260</v>
      </c>
      <c r="J107" s="13" t="s">
        <v>141</v>
      </c>
      <c r="K107" s="16" t="s">
        <v>452</v>
      </c>
    </row>
    <row r="108" spans="1:11" ht="13.2" thickBot="1">
      <c r="A108" s="10">
        <v>8</v>
      </c>
      <c r="B108" s="10" t="str">
        <f>VLOOKUP(A108,status!$A$2:$B$19,2,FALSE)</f>
        <v>活力</v>
      </c>
      <c r="C108" s="10">
        <v>10</v>
      </c>
      <c r="D108" s="10">
        <v>16</v>
      </c>
      <c r="E108" s="10" t="str">
        <f>VLOOKUP(D108,status!$A$2:$B$19,2,FALSE)</f>
        <v>スタイル</v>
      </c>
      <c r="F108" s="10">
        <v>1</v>
      </c>
      <c r="G108" s="10">
        <v>1</v>
      </c>
      <c r="H108" s="10" t="str">
        <f>VLOOKUP(G108,status!$G$2:$H$5,2,FALSE)</f>
        <v>市街地</v>
      </c>
      <c r="I108" s="13" t="s">
        <v>261</v>
      </c>
      <c r="J108" s="13" t="s">
        <v>142</v>
      </c>
      <c r="K108" s="16" t="s">
        <v>453</v>
      </c>
    </row>
    <row r="109" spans="1:11" ht="13.2" thickBot="1">
      <c r="A109" s="10">
        <v>8</v>
      </c>
      <c r="B109" s="10" t="str">
        <f>VLOOKUP(A109,status!$A$2:$B$19,2,FALSE)</f>
        <v>活力</v>
      </c>
      <c r="C109" s="10">
        <v>10</v>
      </c>
      <c r="D109" s="10">
        <v>17</v>
      </c>
      <c r="E109" s="10" t="str">
        <f>VLOOKUP(D109,status!$A$2:$B$19,2,FALSE)</f>
        <v>知性</v>
      </c>
      <c r="F109" s="10">
        <v>1</v>
      </c>
      <c r="G109" s="10">
        <v>4</v>
      </c>
      <c r="H109" s="10" t="str">
        <f>VLOOKUP(G109,status!$G$2:$H$5,2,FALSE)</f>
        <v>山道</v>
      </c>
      <c r="I109" s="13" t="s">
        <v>262</v>
      </c>
      <c r="J109" s="13" t="s">
        <v>143</v>
      </c>
      <c r="K109" s="16" t="s">
        <v>454</v>
      </c>
    </row>
    <row r="110" spans="1:11" ht="13.2" thickBot="1">
      <c r="A110" s="10">
        <v>8</v>
      </c>
      <c r="B110" s="10" t="str">
        <f>VLOOKUP(A110,status!$A$2:$B$19,2,FALSE)</f>
        <v>活力</v>
      </c>
      <c r="C110" s="10">
        <v>10</v>
      </c>
      <c r="D110" s="10">
        <v>18</v>
      </c>
      <c r="E110" s="10" t="str">
        <f>VLOOKUP(D110,status!$A$2:$B$19,2,FALSE)</f>
        <v>幸運</v>
      </c>
      <c r="F110" s="10">
        <v>1</v>
      </c>
      <c r="G110" s="10">
        <v>4</v>
      </c>
      <c r="H110" s="10" t="str">
        <f>VLOOKUP(G110,status!$G$2:$H$5,2,FALSE)</f>
        <v>山道</v>
      </c>
      <c r="I110" s="13" t="s">
        <v>263</v>
      </c>
      <c r="J110" s="13" t="s">
        <v>144</v>
      </c>
      <c r="K110" s="16" t="s">
        <v>455</v>
      </c>
    </row>
    <row r="111" spans="1:11" ht="13.2" thickBot="1">
      <c r="A111" s="10">
        <v>9</v>
      </c>
      <c r="B111" s="10" t="str">
        <f>VLOOKUP(A111,status!$A$2:$B$19,2,FALSE)</f>
        <v>規律</v>
      </c>
      <c r="C111" s="10">
        <v>5</v>
      </c>
      <c r="D111" s="10">
        <v>10</v>
      </c>
      <c r="E111" s="10" t="str">
        <f>VLOOKUP(D111,status!$A$2:$B$19,2,FALSE)</f>
        <v>速度</v>
      </c>
      <c r="F111" s="10">
        <v>5</v>
      </c>
      <c r="G111" s="10">
        <v>4</v>
      </c>
      <c r="H111" s="10" t="str">
        <f>VLOOKUP(G111,status!$G$2:$H$5,2,FALSE)</f>
        <v>山道</v>
      </c>
      <c r="I111" s="13" t="s">
        <v>301</v>
      </c>
      <c r="J111" s="13" t="s">
        <v>145</v>
      </c>
      <c r="K111" s="16" t="s">
        <v>456</v>
      </c>
    </row>
    <row r="112" spans="1:11" ht="13.2" thickBot="1">
      <c r="A112" s="10">
        <v>9</v>
      </c>
      <c r="B112" s="10" t="str">
        <f>VLOOKUP(A112,status!$A$2:$B$19,2,FALSE)</f>
        <v>規律</v>
      </c>
      <c r="C112" s="10">
        <v>5</v>
      </c>
      <c r="D112" s="10">
        <v>11</v>
      </c>
      <c r="E112" s="10" t="str">
        <f>VLOOKUP(D112,status!$A$2:$B$19,2,FALSE)</f>
        <v>スタミナ</v>
      </c>
      <c r="F112" s="10">
        <v>5</v>
      </c>
      <c r="G112" s="10">
        <v>3</v>
      </c>
      <c r="H112" s="10" t="str">
        <f>VLOOKUP(G112,status!$G$2:$H$5,2,FALSE)</f>
        <v>海辺</v>
      </c>
      <c r="I112" s="13" t="s">
        <v>264</v>
      </c>
      <c r="J112" s="13" t="s">
        <v>353</v>
      </c>
      <c r="K112" s="16" t="s">
        <v>457</v>
      </c>
    </row>
    <row r="113" spans="1:11" ht="13.2" thickBot="1">
      <c r="A113" s="10">
        <v>9</v>
      </c>
      <c r="B113" s="10" t="str">
        <f>VLOOKUP(A113,status!$A$2:$B$19,2,FALSE)</f>
        <v>規律</v>
      </c>
      <c r="C113" s="10">
        <v>5</v>
      </c>
      <c r="D113" s="10">
        <v>12</v>
      </c>
      <c r="E113" s="10" t="str">
        <f>VLOOKUP(D113,status!$A$2:$B$19,2,FALSE)</f>
        <v>バネ</v>
      </c>
      <c r="F113" s="10">
        <v>5</v>
      </c>
      <c r="G113" s="10">
        <v>3</v>
      </c>
      <c r="H113" s="10" t="str">
        <f>VLOOKUP(G113,status!$G$2:$H$5,2,FALSE)</f>
        <v>海辺</v>
      </c>
      <c r="I113" s="13" t="s">
        <v>265</v>
      </c>
      <c r="J113" s="13" t="s">
        <v>146</v>
      </c>
      <c r="K113" s="16" t="s">
        <v>458</v>
      </c>
    </row>
    <row r="114" spans="1:11" ht="13.2" thickBot="1">
      <c r="A114" s="10">
        <v>9</v>
      </c>
      <c r="B114" s="10" t="str">
        <f>VLOOKUP(A114,status!$A$2:$B$19,2,FALSE)</f>
        <v>規律</v>
      </c>
      <c r="C114" s="10">
        <v>5</v>
      </c>
      <c r="D114" s="10">
        <v>13</v>
      </c>
      <c r="E114" s="10" t="str">
        <f>VLOOKUP(D114,status!$A$2:$B$19,2,FALSE)</f>
        <v>集中力</v>
      </c>
      <c r="F114" s="10">
        <v>5</v>
      </c>
      <c r="G114" s="10">
        <v>1</v>
      </c>
      <c r="H114" s="10" t="str">
        <f>VLOOKUP(G114,status!$G$2:$H$5,2,FALSE)</f>
        <v>市街地</v>
      </c>
      <c r="I114" s="13" t="s">
        <v>319</v>
      </c>
      <c r="J114" s="13" t="s">
        <v>147</v>
      </c>
      <c r="K114" s="16" t="s">
        <v>459</v>
      </c>
    </row>
    <row r="115" spans="1:11" ht="13.2" thickBot="1">
      <c r="A115" s="10">
        <v>9</v>
      </c>
      <c r="B115" s="10" t="str">
        <f>VLOOKUP(A115,status!$A$2:$B$19,2,FALSE)</f>
        <v>規律</v>
      </c>
      <c r="C115" s="10">
        <v>5</v>
      </c>
      <c r="D115" s="10">
        <v>14</v>
      </c>
      <c r="E115" s="10" t="str">
        <f>VLOOKUP(D115,status!$A$2:$B$19,2,FALSE)</f>
        <v>毛並み</v>
      </c>
      <c r="F115" s="10">
        <v>-1</v>
      </c>
      <c r="G115" s="10">
        <v>2</v>
      </c>
      <c r="H115" s="10" t="str">
        <f>VLOOKUP(G115,status!$G$2:$H$5,2,FALSE)</f>
        <v>公園</v>
      </c>
      <c r="I115" s="13" t="s">
        <v>266</v>
      </c>
      <c r="J115" s="13" t="s">
        <v>148</v>
      </c>
      <c r="K115" s="16" t="s">
        <v>460</v>
      </c>
    </row>
    <row r="116" spans="1:11" ht="13.2" thickBot="1">
      <c r="A116" s="10">
        <v>9</v>
      </c>
      <c r="B116" s="10" t="str">
        <f>VLOOKUP(A116,status!$A$2:$B$19,2,FALSE)</f>
        <v>規律</v>
      </c>
      <c r="C116" s="10">
        <v>5</v>
      </c>
      <c r="D116" s="10">
        <v>15</v>
      </c>
      <c r="E116" s="10" t="str">
        <f>VLOOKUP(D116,status!$A$2:$B$19,2,FALSE)</f>
        <v>愛嬌</v>
      </c>
      <c r="F116" s="10">
        <v>-1</v>
      </c>
      <c r="G116" s="10">
        <v>4</v>
      </c>
      <c r="H116" s="10" t="str">
        <f>VLOOKUP(G116,status!$G$2:$H$5,2,FALSE)</f>
        <v>山道</v>
      </c>
      <c r="I116" s="13" t="s">
        <v>267</v>
      </c>
      <c r="J116" s="13" t="s">
        <v>354</v>
      </c>
      <c r="K116" s="16" t="s">
        <v>461</v>
      </c>
    </row>
    <row r="117" spans="1:11" ht="13.2" thickBot="1">
      <c r="A117" s="10">
        <v>9</v>
      </c>
      <c r="B117" s="10" t="str">
        <f>VLOOKUP(A117,status!$A$2:$B$19,2,FALSE)</f>
        <v>規律</v>
      </c>
      <c r="C117" s="10">
        <v>5</v>
      </c>
      <c r="D117" s="10">
        <v>16</v>
      </c>
      <c r="E117" s="10" t="str">
        <f>VLOOKUP(D117,status!$A$2:$B$19,2,FALSE)</f>
        <v>スタイル</v>
      </c>
      <c r="F117" s="10">
        <v>-1</v>
      </c>
      <c r="G117" s="10">
        <v>4</v>
      </c>
      <c r="H117" s="10" t="str">
        <f>VLOOKUP(G117,status!$G$2:$H$5,2,FALSE)</f>
        <v>山道</v>
      </c>
      <c r="I117" s="13" t="s">
        <v>268</v>
      </c>
      <c r="J117" s="13" t="s">
        <v>355</v>
      </c>
      <c r="K117" s="16" t="s">
        <v>462</v>
      </c>
    </row>
    <row r="118" spans="1:11" ht="13.2" thickBot="1">
      <c r="A118" s="10">
        <v>9</v>
      </c>
      <c r="B118" s="10" t="str">
        <f>VLOOKUP(A118,status!$A$2:$B$19,2,FALSE)</f>
        <v>規律</v>
      </c>
      <c r="C118" s="10">
        <v>5</v>
      </c>
      <c r="D118" s="10">
        <v>17</v>
      </c>
      <c r="E118" s="10" t="str">
        <f>VLOOKUP(D118,status!$A$2:$B$19,2,FALSE)</f>
        <v>知性</v>
      </c>
      <c r="F118" s="10">
        <v>1</v>
      </c>
      <c r="G118" s="10">
        <v>4</v>
      </c>
      <c r="H118" s="10" t="str">
        <f>VLOOKUP(G118,status!$G$2:$H$5,2,FALSE)</f>
        <v>山道</v>
      </c>
      <c r="I118" s="13" t="s">
        <v>269</v>
      </c>
      <c r="J118" s="13" t="s">
        <v>356</v>
      </c>
      <c r="K118" s="16" t="s">
        <v>463</v>
      </c>
    </row>
    <row r="119" spans="1:11" ht="13.2" thickBot="1">
      <c r="A119" s="10">
        <v>9</v>
      </c>
      <c r="B119" s="10" t="str">
        <f>VLOOKUP(A119,status!$A$2:$B$19,2,FALSE)</f>
        <v>規律</v>
      </c>
      <c r="C119" s="10">
        <v>5</v>
      </c>
      <c r="D119" s="10">
        <v>18</v>
      </c>
      <c r="E119" s="10" t="str">
        <f>VLOOKUP(D119,status!$A$2:$B$19,2,FALSE)</f>
        <v>幸運</v>
      </c>
      <c r="F119" s="10">
        <v>1</v>
      </c>
      <c r="G119" s="10">
        <v>4</v>
      </c>
      <c r="H119" s="10" t="str">
        <f>VLOOKUP(G119,status!$G$2:$H$5,2,FALSE)</f>
        <v>山道</v>
      </c>
      <c r="I119" s="13" t="s">
        <v>270</v>
      </c>
      <c r="J119" s="13" t="s">
        <v>149</v>
      </c>
      <c r="K119" s="16" t="s">
        <v>464</v>
      </c>
    </row>
    <row r="120" spans="1:11" ht="13.2" thickBot="1">
      <c r="A120" s="10">
        <v>10</v>
      </c>
      <c r="B120" s="10" t="str">
        <f>VLOOKUP(A120,status!$A$2:$B$19,2,FALSE)</f>
        <v>速度</v>
      </c>
      <c r="C120" s="10">
        <v>5</v>
      </c>
      <c r="D120" s="10">
        <v>11</v>
      </c>
      <c r="E120" s="10" t="str">
        <f>VLOOKUP(D120,status!$A$2:$B$19,2,FALSE)</f>
        <v>スタミナ</v>
      </c>
      <c r="F120" s="10">
        <v>5</v>
      </c>
      <c r="G120" s="10">
        <v>4</v>
      </c>
      <c r="H120" s="10" t="str">
        <f>VLOOKUP(G120,status!$G$2:$H$5,2,FALSE)</f>
        <v>山道</v>
      </c>
      <c r="I120" s="13" t="s">
        <v>271</v>
      </c>
      <c r="J120" s="13" t="s">
        <v>150</v>
      </c>
      <c r="K120" s="16" t="s">
        <v>465</v>
      </c>
    </row>
    <row r="121" spans="1:11" ht="13.2" thickBot="1">
      <c r="A121" s="10">
        <v>10</v>
      </c>
      <c r="B121" s="10" t="str">
        <f>VLOOKUP(A121,status!$A$2:$B$19,2,FALSE)</f>
        <v>速度</v>
      </c>
      <c r="C121" s="10">
        <v>5</v>
      </c>
      <c r="D121" s="10">
        <v>12</v>
      </c>
      <c r="E121" s="10" t="str">
        <f>VLOOKUP(D121,status!$A$2:$B$19,2,FALSE)</f>
        <v>バネ</v>
      </c>
      <c r="F121" s="10">
        <v>5</v>
      </c>
      <c r="G121" s="10">
        <v>2</v>
      </c>
      <c r="H121" s="10" t="str">
        <f>VLOOKUP(G121,status!$G$2:$H$5,2,FALSE)</f>
        <v>公園</v>
      </c>
      <c r="I121" s="13" t="s">
        <v>272</v>
      </c>
      <c r="J121" s="13" t="s">
        <v>151</v>
      </c>
      <c r="K121" s="16" t="s">
        <v>466</v>
      </c>
    </row>
    <row r="122" spans="1:11" ht="13.2" thickBot="1">
      <c r="A122" s="10">
        <v>10</v>
      </c>
      <c r="B122" s="10" t="str">
        <f>VLOOKUP(A122,status!$A$2:$B$19,2,FALSE)</f>
        <v>速度</v>
      </c>
      <c r="C122" s="10">
        <v>5</v>
      </c>
      <c r="D122" s="10">
        <v>13</v>
      </c>
      <c r="E122" s="10" t="str">
        <f>VLOOKUP(D122,status!$A$2:$B$19,2,FALSE)</f>
        <v>集中力</v>
      </c>
      <c r="F122" s="10">
        <v>5</v>
      </c>
      <c r="G122" s="10">
        <v>3</v>
      </c>
      <c r="H122" s="10" t="str">
        <f>VLOOKUP(G122,status!$G$2:$H$5,2,FALSE)</f>
        <v>海辺</v>
      </c>
      <c r="I122" s="13" t="s">
        <v>273</v>
      </c>
      <c r="J122" s="13" t="s">
        <v>152</v>
      </c>
      <c r="K122" s="16" t="s">
        <v>467</v>
      </c>
    </row>
    <row r="123" spans="1:11" ht="13.2" thickBot="1">
      <c r="A123" s="10">
        <v>10</v>
      </c>
      <c r="B123" s="10" t="str">
        <f>VLOOKUP(A123,status!$A$2:$B$19,2,FALSE)</f>
        <v>速度</v>
      </c>
      <c r="C123" s="10">
        <v>5</v>
      </c>
      <c r="D123" s="10">
        <v>14</v>
      </c>
      <c r="E123" s="10" t="str">
        <f>VLOOKUP(D123,status!$A$2:$B$19,2,FALSE)</f>
        <v>毛並み</v>
      </c>
      <c r="F123" s="10">
        <v>-1</v>
      </c>
      <c r="G123" s="10">
        <v>4</v>
      </c>
      <c r="H123" s="10" t="str">
        <f>VLOOKUP(G123,status!$G$2:$H$5,2,FALSE)</f>
        <v>山道</v>
      </c>
      <c r="I123" s="13" t="s">
        <v>274</v>
      </c>
      <c r="J123" s="13" t="s">
        <v>153</v>
      </c>
      <c r="K123" s="16" t="s">
        <v>468</v>
      </c>
    </row>
    <row r="124" spans="1:11" ht="13.2" thickBot="1">
      <c r="A124" s="10">
        <v>10</v>
      </c>
      <c r="B124" s="10" t="str">
        <f>VLOOKUP(A124,status!$A$2:$B$19,2,FALSE)</f>
        <v>速度</v>
      </c>
      <c r="C124" s="10">
        <v>5</v>
      </c>
      <c r="D124" s="10">
        <v>15</v>
      </c>
      <c r="E124" s="10" t="str">
        <f>VLOOKUP(D124,status!$A$2:$B$19,2,FALSE)</f>
        <v>愛嬌</v>
      </c>
      <c r="F124" s="10">
        <v>-1</v>
      </c>
      <c r="G124" s="10">
        <v>4</v>
      </c>
      <c r="H124" s="10" t="str">
        <f>VLOOKUP(G124,status!$G$2:$H$5,2,FALSE)</f>
        <v>山道</v>
      </c>
      <c r="I124" s="13" t="s">
        <v>275</v>
      </c>
      <c r="J124" s="13" t="s">
        <v>154</v>
      </c>
      <c r="K124" s="16" t="s">
        <v>469</v>
      </c>
    </row>
    <row r="125" spans="1:11" ht="13.2" thickBot="1">
      <c r="A125" s="10">
        <v>10</v>
      </c>
      <c r="B125" s="10" t="str">
        <f>VLOOKUP(A125,status!$A$2:$B$19,2,FALSE)</f>
        <v>速度</v>
      </c>
      <c r="C125" s="10">
        <v>5</v>
      </c>
      <c r="D125" s="10">
        <v>16</v>
      </c>
      <c r="E125" s="10" t="str">
        <f>VLOOKUP(D125,status!$A$2:$B$19,2,FALSE)</f>
        <v>スタイル</v>
      </c>
      <c r="F125" s="10">
        <v>-1</v>
      </c>
      <c r="G125" s="10">
        <v>1</v>
      </c>
      <c r="H125" s="10" t="str">
        <f>VLOOKUP(G125,status!$G$2:$H$5,2,FALSE)</f>
        <v>市街地</v>
      </c>
      <c r="I125" s="13" t="s">
        <v>320</v>
      </c>
      <c r="J125" s="13" t="s">
        <v>155</v>
      </c>
      <c r="K125" s="16" t="s">
        <v>511</v>
      </c>
    </row>
    <row r="126" spans="1:11" ht="13.2" thickBot="1">
      <c r="A126" s="10">
        <v>10</v>
      </c>
      <c r="B126" s="10" t="str">
        <f>VLOOKUP(A126,status!$A$2:$B$19,2,FALSE)</f>
        <v>速度</v>
      </c>
      <c r="C126" s="10">
        <v>5</v>
      </c>
      <c r="D126" s="10">
        <v>17</v>
      </c>
      <c r="E126" s="10" t="str">
        <f>VLOOKUP(D126,status!$A$2:$B$19,2,FALSE)</f>
        <v>知性</v>
      </c>
      <c r="F126" s="10">
        <v>-1</v>
      </c>
      <c r="G126" s="10">
        <v>4</v>
      </c>
      <c r="H126" s="10" t="str">
        <f>VLOOKUP(G126,status!$G$2:$H$5,2,FALSE)</f>
        <v>山道</v>
      </c>
      <c r="I126" s="13" t="s">
        <v>276</v>
      </c>
      <c r="J126" s="13" t="s">
        <v>156</v>
      </c>
      <c r="K126" s="16" t="s">
        <v>470</v>
      </c>
    </row>
    <row r="127" spans="1:11" ht="13.2" thickBot="1">
      <c r="A127" s="10">
        <v>10</v>
      </c>
      <c r="B127" s="10" t="str">
        <f>VLOOKUP(A127,status!$A$2:$B$19,2,FALSE)</f>
        <v>速度</v>
      </c>
      <c r="C127" s="10">
        <v>5</v>
      </c>
      <c r="D127" s="10">
        <v>18</v>
      </c>
      <c r="E127" s="10" t="str">
        <f>VLOOKUP(D127,status!$A$2:$B$19,2,FALSE)</f>
        <v>幸運</v>
      </c>
      <c r="F127" s="10">
        <v>-1</v>
      </c>
      <c r="G127" s="10">
        <v>3</v>
      </c>
      <c r="H127" s="10" t="str">
        <f>VLOOKUP(G127,status!$G$2:$H$5,2,FALSE)</f>
        <v>海辺</v>
      </c>
      <c r="I127" s="13" t="s">
        <v>277</v>
      </c>
      <c r="J127" s="13" t="s">
        <v>357</v>
      </c>
      <c r="K127" s="16" t="s">
        <v>471</v>
      </c>
    </row>
    <row r="128" spans="1:11" ht="13.2" thickBot="1">
      <c r="A128" s="13">
        <v>11</v>
      </c>
      <c r="B128" s="10" t="str">
        <f>VLOOKUP(A128,status!$A$2:$B$19,2,FALSE)</f>
        <v>スタミナ</v>
      </c>
      <c r="C128" s="10">
        <v>5</v>
      </c>
      <c r="D128" s="10">
        <v>12</v>
      </c>
      <c r="E128" s="10" t="str">
        <f>VLOOKUP(D128,status!$A$2:$B$19,2,FALSE)</f>
        <v>バネ</v>
      </c>
      <c r="F128" s="10">
        <v>5</v>
      </c>
      <c r="G128" s="10">
        <v>4</v>
      </c>
      <c r="H128" s="10" t="str">
        <f>VLOOKUP(G128,status!$G$2:$H$5,2,FALSE)</f>
        <v>山道</v>
      </c>
      <c r="I128" s="13" t="s">
        <v>278</v>
      </c>
      <c r="J128" s="13" t="s">
        <v>157</v>
      </c>
      <c r="K128" s="16" t="s">
        <v>472</v>
      </c>
    </row>
    <row r="129" spans="1:11" ht="13.2" thickBot="1">
      <c r="A129" s="13">
        <v>11</v>
      </c>
      <c r="B129" s="10" t="str">
        <f>VLOOKUP(A129,status!$A$2:$B$19,2,FALSE)</f>
        <v>スタミナ</v>
      </c>
      <c r="C129" s="10">
        <v>5</v>
      </c>
      <c r="D129" s="10">
        <v>13</v>
      </c>
      <c r="E129" s="10" t="str">
        <f>VLOOKUP(D129,status!$A$2:$B$19,2,FALSE)</f>
        <v>集中力</v>
      </c>
      <c r="F129" s="10">
        <v>5</v>
      </c>
      <c r="G129" s="10">
        <v>3</v>
      </c>
      <c r="H129" s="10" t="str">
        <f>VLOOKUP(G129,status!$G$2:$H$5,2,FALSE)</f>
        <v>海辺</v>
      </c>
      <c r="I129" s="13" t="s">
        <v>279</v>
      </c>
      <c r="J129" s="13" t="s">
        <v>158</v>
      </c>
      <c r="K129" s="16" t="s">
        <v>473</v>
      </c>
    </row>
    <row r="130" spans="1:11" ht="13.2" thickBot="1">
      <c r="A130" s="13">
        <v>11</v>
      </c>
      <c r="B130" s="10" t="str">
        <f>VLOOKUP(A130,status!$A$2:$B$19,2,FALSE)</f>
        <v>スタミナ</v>
      </c>
      <c r="C130" s="10">
        <v>5</v>
      </c>
      <c r="D130" s="10">
        <v>14</v>
      </c>
      <c r="E130" s="10" t="str">
        <f>VLOOKUP(D130,status!$A$2:$B$19,2,FALSE)</f>
        <v>毛並み</v>
      </c>
      <c r="F130" s="10">
        <v>-1</v>
      </c>
      <c r="G130" s="10">
        <v>2</v>
      </c>
      <c r="H130" s="10" t="str">
        <f>VLOOKUP(G130,status!$G$2:$H$5,2,FALSE)</f>
        <v>公園</v>
      </c>
      <c r="I130" s="13" t="s">
        <v>280</v>
      </c>
      <c r="J130" s="13" t="s">
        <v>159</v>
      </c>
      <c r="K130" s="16" t="s">
        <v>474</v>
      </c>
    </row>
    <row r="131" spans="1:11" ht="13.2" thickBot="1">
      <c r="A131" s="13">
        <v>11</v>
      </c>
      <c r="B131" s="10" t="str">
        <f>VLOOKUP(A131,status!$A$2:$B$19,2,FALSE)</f>
        <v>スタミナ</v>
      </c>
      <c r="C131" s="10">
        <v>5</v>
      </c>
      <c r="D131" s="10">
        <v>15</v>
      </c>
      <c r="E131" s="10" t="str">
        <f>VLOOKUP(D131,status!$A$2:$B$19,2,FALSE)</f>
        <v>愛嬌</v>
      </c>
      <c r="F131" s="10">
        <v>-1</v>
      </c>
      <c r="G131" s="10">
        <v>4</v>
      </c>
      <c r="H131" s="10" t="str">
        <f>VLOOKUP(G131,status!$G$2:$H$5,2,FALSE)</f>
        <v>山道</v>
      </c>
      <c r="I131" s="13" t="s">
        <v>281</v>
      </c>
      <c r="J131" s="13" t="s">
        <v>160</v>
      </c>
      <c r="K131" s="16" t="s">
        <v>475</v>
      </c>
    </row>
    <row r="132" spans="1:11" ht="13.2" thickBot="1">
      <c r="A132" s="13">
        <v>11</v>
      </c>
      <c r="B132" s="10" t="str">
        <f>VLOOKUP(A132,status!$A$2:$B$19,2,FALSE)</f>
        <v>スタミナ</v>
      </c>
      <c r="C132" s="10">
        <v>5</v>
      </c>
      <c r="D132" s="10">
        <v>16</v>
      </c>
      <c r="E132" s="10" t="str">
        <f>VLOOKUP(D132,status!$A$2:$B$19,2,FALSE)</f>
        <v>スタイル</v>
      </c>
      <c r="F132" s="10">
        <v>-1</v>
      </c>
      <c r="G132" s="10">
        <v>2</v>
      </c>
      <c r="H132" s="10" t="str">
        <f>VLOOKUP(G132,status!$G$2:$H$5,2,FALSE)</f>
        <v>公園</v>
      </c>
      <c r="I132" s="13" t="s">
        <v>321</v>
      </c>
      <c r="J132" s="13" t="s">
        <v>332</v>
      </c>
      <c r="K132" s="16" t="s">
        <v>476</v>
      </c>
    </row>
    <row r="133" spans="1:11" ht="13.2" thickBot="1">
      <c r="A133" s="13">
        <v>11</v>
      </c>
      <c r="B133" s="10" t="str">
        <f>VLOOKUP(A133,status!$A$2:$B$19,2,FALSE)</f>
        <v>スタミナ</v>
      </c>
      <c r="C133" s="10">
        <v>5</v>
      </c>
      <c r="D133" s="10">
        <v>17</v>
      </c>
      <c r="E133" s="10" t="str">
        <f>VLOOKUP(D133,status!$A$2:$B$19,2,FALSE)</f>
        <v>知性</v>
      </c>
      <c r="F133" s="10">
        <v>-1</v>
      </c>
      <c r="G133" s="10">
        <v>1</v>
      </c>
      <c r="H133" s="10" t="str">
        <f>VLOOKUP(G133,status!$G$2:$H$5,2,FALSE)</f>
        <v>市街地</v>
      </c>
      <c r="I133" s="13" t="s">
        <v>322</v>
      </c>
      <c r="J133" s="13" t="s">
        <v>59</v>
      </c>
      <c r="K133" s="16" t="s">
        <v>477</v>
      </c>
    </row>
    <row r="134" spans="1:11" ht="13.2" thickBot="1">
      <c r="A134" s="13">
        <v>11</v>
      </c>
      <c r="B134" s="10" t="str">
        <f>VLOOKUP(A134,status!$A$2:$B$19,2,FALSE)</f>
        <v>スタミナ</v>
      </c>
      <c r="C134" s="10">
        <v>5</v>
      </c>
      <c r="D134" s="10">
        <v>18</v>
      </c>
      <c r="E134" s="10" t="str">
        <f>VLOOKUP(D134,status!$A$2:$B$19,2,FALSE)</f>
        <v>幸運</v>
      </c>
      <c r="F134" s="10">
        <v>-1</v>
      </c>
      <c r="G134" s="10">
        <v>2</v>
      </c>
      <c r="H134" s="10" t="str">
        <f>VLOOKUP(G134,status!$G$2:$H$5,2,FALSE)</f>
        <v>公園</v>
      </c>
      <c r="I134" s="13" t="s">
        <v>282</v>
      </c>
      <c r="J134" s="13" t="s">
        <v>358</v>
      </c>
      <c r="K134" s="16" t="s">
        <v>478</v>
      </c>
    </row>
    <row r="135" spans="1:11" ht="13.2" thickBot="1">
      <c r="A135" s="13">
        <v>12</v>
      </c>
      <c r="B135" s="10" t="str">
        <f>VLOOKUP(A135,status!$A$2:$B$19,2,FALSE)</f>
        <v>バネ</v>
      </c>
      <c r="C135" s="10">
        <v>5</v>
      </c>
      <c r="D135" s="10">
        <v>13</v>
      </c>
      <c r="E135" s="10" t="str">
        <f>VLOOKUP(D135,status!$A$2:$B$19,2,FALSE)</f>
        <v>集中力</v>
      </c>
      <c r="F135" s="10">
        <v>5</v>
      </c>
      <c r="G135" s="10">
        <v>1</v>
      </c>
      <c r="H135" s="10" t="str">
        <f>VLOOKUP(G135,status!$G$2:$H$5,2,FALSE)</f>
        <v>市街地</v>
      </c>
      <c r="I135" s="13" t="s">
        <v>283</v>
      </c>
      <c r="J135" s="13" t="s">
        <v>161</v>
      </c>
      <c r="K135" s="16" t="s">
        <v>479</v>
      </c>
    </row>
    <row r="136" spans="1:11" ht="13.2" thickBot="1">
      <c r="A136" s="13">
        <v>12</v>
      </c>
      <c r="B136" s="10" t="str">
        <f>VLOOKUP(A136,status!$A$2:$B$19,2,FALSE)</f>
        <v>バネ</v>
      </c>
      <c r="C136" s="10">
        <v>5</v>
      </c>
      <c r="D136" s="10">
        <v>14</v>
      </c>
      <c r="E136" s="10" t="str">
        <f>VLOOKUP(D136,status!$A$2:$B$19,2,FALSE)</f>
        <v>毛並み</v>
      </c>
      <c r="F136" s="10">
        <v>-1</v>
      </c>
      <c r="G136" s="10">
        <v>2</v>
      </c>
      <c r="H136" s="10" t="str">
        <f>VLOOKUP(G136,status!$G$2:$H$5,2,FALSE)</f>
        <v>公園</v>
      </c>
      <c r="I136" s="13" t="s">
        <v>302</v>
      </c>
      <c r="J136" s="13" t="s">
        <v>162</v>
      </c>
      <c r="K136" s="16" t="s">
        <v>480</v>
      </c>
    </row>
    <row r="137" spans="1:11" ht="13.2" thickBot="1">
      <c r="A137" s="13">
        <v>12</v>
      </c>
      <c r="B137" s="10" t="str">
        <f>VLOOKUP(A137,status!$A$2:$B$19,2,FALSE)</f>
        <v>バネ</v>
      </c>
      <c r="C137" s="10">
        <v>5</v>
      </c>
      <c r="D137" s="10">
        <v>15</v>
      </c>
      <c r="E137" s="10" t="str">
        <f>VLOOKUP(D137,status!$A$2:$B$19,2,FALSE)</f>
        <v>愛嬌</v>
      </c>
      <c r="F137" s="10">
        <v>-1</v>
      </c>
      <c r="G137" s="10">
        <v>3</v>
      </c>
      <c r="H137" s="10" t="str">
        <f>VLOOKUP(G137,status!$G$2:$H$5,2,FALSE)</f>
        <v>海辺</v>
      </c>
      <c r="I137" s="13" t="s">
        <v>284</v>
      </c>
      <c r="J137" s="13" t="s">
        <v>163</v>
      </c>
      <c r="K137" s="16" t="s">
        <v>481</v>
      </c>
    </row>
    <row r="138" spans="1:11" ht="13.2" thickBot="1">
      <c r="A138" s="13">
        <v>12</v>
      </c>
      <c r="B138" s="10" t="str">
        <f>VLOOKUP(A138,status!$A$2:$B$19,2,FALSE)</f>
        <v>バネ</v>
      </c>
      <c r="C138" s="10">
        <v>5</v>
      </c>
      <c r="D138" s="10">
        <v>16</v>
      </c>
      <c r="E138" s="10" t="str">
        <f>VLOOKUP(D138,status!$A$2:$B$19,2,FALSE)</f>
        <v>スタイル</v>
      </c>
      <c r="F138" s="10">
        <v>-1</v>
      </c>
      <c r="G138" s="10">
        <v>3</v>
      </c>
      <c r="H138" s="10" t="str">
        <f>VLOOKUP(G138,status!$G$2:$H$5,2,FALSE)</f>
        <v>海辺</v>
      </c>
      <c r="I138" s="13" t="s">
        <v>285</v>
      </c>
      <c r="J138" s="13" t="s">
        <v>164</v>
      </c>
      <c r="K138" s="16" t="s">
        <v>482</v>
      </c>
    </row>
    <row r="139" spans="1:11" ht="13.2" thickBot="1">
      <c r="A139" s="13">
        <v>12</v>
      </c>
      <c r="B139" s="10" t="str">
        <f>VLOOKUP(A139,status!$A$2:$B$19,2,FALSE)</f>
        <v>バネ</v>
      </c>
      <c r="C139" s="10">
        <v>5</v>
      </c>
      <c r="D139" s="10">
        <v>17</v>
      </c>
      <c r="E139" s="10" t="str">
        <f>VLOOKUP(D139,status!$A$2:$B$19,2,FALSE)</f>
        <v>知性</v>
      </c>
      <c r="F139" s="10">
        <v>-1</v>
      </c>
      <c r="G139" s="10">
        <v>2</v>
      </c>
      <c r="H139" s="10" t="str">
        <f>VLOOKUP(G139,status!$G$2:$H$5,2,FALSE)</f>
        <v>公園</v>
      </c>
      <c r="I139" s="13" t="s">
        <v>286</v>
      </c>
      <c r="J139" s="13" t="s">
        <v>333</v>
      </c>
      <c r="K139" s="16" t="s">
        <v>483</v>
      </c>
    </row>
    <row r="140" spans="1:11" ht="13.2" thickBot="1">
      <c r="A140" s="13">
        <v>12</v>
      </c>
      <c r="B140" s="10" t="str">
        <f>VLOOKUP(A140,status!$A$2:$B$19,2,FALSE)</f>
        <v>バネ</v>
      </c>
      <c r="C140" s="10">
        <v>5</v>
      </c>
      <c r="D140" s="10">
        <v>18</v>
      </c>
      <c r="E140" s="10" t="str">
        <f>VLOOKUP(D140,status!$A$2:$B$19,2,FALSE)</f>
        <v>幸運</v>
      </c>
      <c r="F140" s="10">
        <v>-1</v>
      </c>
      <c r="G140" s="10">
        <v>4</v>
      </c>
      <c r="H140" s="10" t="str">
        <f>VLOOKUP(G140,status!$G$2:$H$5,2,FALSE)</f>
        <v>山道</v>
      </c>
      <c r="I140" s="13" t="s">
        <v>287</v>
      </c>
      <c r="J140" s="13" t="s">
        <v>165</v>
      </c>
      <c r="K140" s="16" t="s">
        <v>484</v>
      </c>
    </row>
    <row r="141" spans="1:11" ht="13.2" thickBot="1">
      <c r="A141" s="13">
        <v>13</v>
      </c>
      <c r="B141" s="10" t="str">
        <f>VLOOKUP(A141,status!$A$2:$B$19,2,FALSE)</f>
        <v>集中力</v>
      </c>
      <c r="C141" s="10">
        <v>5</v>
      </c>
      <c r="D141" s="10">
        <v>14</v>
      </c>
      <c r="E141" s="10" t="str">
        <f>VLOOKUP(D141,status!$A$2:$B$19,2,FALSE)</f>
        <v>毛並み</v>
      </c>
      <c r="F141" s="10">
        <v>1</v>
      </c>
      <c r="G141" s="10">
        <v>3</v>
      </c>
      <c r="H141" s="10" t="str">
        <f>VLOOKUP(G141,status!$G$2:$H$5,2,FALSE)</f>
        <v>海辺</v>
      </c>
      <c r="I141" s="13" t="s">
        <v>323</v>
      </c>
      <c r="J141" s="13" t="s">
        <v>359</v>
      </c>
      <c r="K141" s="16" t="s">
        <v>485</v>
      </c>
    </row>
    <row r="142" spans="1:11" ht="13.2" thickBot="1">
      <c r="A142" s="13">
        <v>13</v>
      </c>
      <c r="B142" s="10" t="str">
        <f>VLOOKUP(A142,status!$A$2:$B$19,2,FALSE)</f>
        <v>集中力</v>
      </c>
      <c r="C142" s="10">
        <v>5</v>
      </c>
      <c r="D142" s="10">
        <v>15</v>
      </c>
      <c r="E142" s="10" t="str">
        <f>VLOOKUP(D142,status!$A$2:$B$19,2,FALSE)</f>
        <v>愛嬌</v>
      </c>
      <c r="F142" s="10">
        <v>1</v>
      </c>
      <c r="G142" s="10">
        <v>4</v>
      </c>
      <c r="H142" s="10" t="str">
        <f>VLOOKUP(G142,status!$G$2:$H$5,2,FALSE)</f>
        <v>山道</v>
      </c>
      <c r="I142" s="13" t="s">
        <v>288</v>
      </c>
      <c r="J142" s="13" t="s">
        <v>166</v>
      </c>
      <c r="K142" s="16" t="s">
        <v>486</v>
      </c>
    </row>
    <row r="143" spans="1:11" ht="13.2" thickBot="1">
      <c r="A143" s="13">
        <v>13</v>
      </c>
      <c r="B143" s="10" t="str">
        <f>VLOOKUP(A143,status!$A$2:$B$19,2,FALSE)</f>
        <v>集中力</v>
      </c>
      <c r="C143" s="10">
        <v>5</v>
      </c>
      <c r="D143" s="10">
        <v>16</v>
      </c>
      <c r="E143" s="10" t="str">
        <f>VLOOKUP(D143,status!$A$2:$B$19,2,FALSE)</f>
        <v>スタイル</v>
      </c>
      <c r="F143" s="10">
        <v>1</v>
      </c>
      <c r="G143" s="10">
        <v>3</v>
      </c>
      <c r="H143" s="10" t="str">
        <f>VLOOKUP(G143,status!$G$2:$H$5,2,FALSE)</f>
        <v>海辺</v>
      </c>
      <c r="I143" s="13" t="s">
        <v>289</v>
      </c>
      <c r="J143" s="13" t="s">
        <v>360</v>
      </c>
      <c r="K143" s="16" t="s">
        <v>512</v>
      </c>
    </row>
    <row r="144" spans="1:11" ht="13.2" thickBot="1">
      <c r="A144" s="13">
        <v>13</v>
      </c>
      <c r="B144" s="10" t="str">
        <f>VLOOKUP(A144,status!$A$2:$B$19,2,FALSE)</f>
        <v>集中力</v>
      </c>
      <c r="C144" s="10">
        <v>5</v>
      </c>
      <c r="D144" s="10">
        <v>17</v>
      </c>
      <c r="E144" s="10" t="str">
        <f>VLOOKUP(D144,status!$A$2:$B$19,2,FALSE)</f>
        <v>知性</v>
      </c>
      <c r="F144" s="10">
        <v>1</v>
      </c>
      <c r="G144" s="10">
        <v>2</v>
      </c>
      <c r="H144" s="10" t="str">
        <f>VLOOKUP(G144,status!$G$2:$H$5,2,FALSE)</f>
        <v>公園</v>
      </c>
      <c r="I144" s="13" t="s">
        <v>324</v>
      </c>
      <c r="J144" s="13" t="s">
        <v>60</v>
      </c>
      <c r="K144" s="16" t="s">
        <v>513</v>
      </c>
    </row>
    <row r="145" spans="1:11" ht="13.2" thickBot="1">
      <c r="A145" s="13">
        <v>13</v>
      </c>
      <c r="B145" s="10" t="str">
        <f>VLOOKUP(A145,status!$A$2:$B$19,2,FALSE)</f>
        <v>集中力</v>
      </c>
      <c r="C145" s="10">
        <v>5</v>
      </c>
      <c r="D145" s="10">
        <v>18</v>
      </c>
      <c r="E145" s="10" t="str">
        <f>VLOOKUP(D145,status!$A$2:$B$19,2,FALSE)</f>
        <v>幸運</v>
      </c>
      <c r="F145" s="10">
        <v>1</v>
      </c>
      <c r="G145" s="10">
        <v>1</v>
      </c>
      <c r="H145" s="10" t="str">
        <f>VLOOKUP(G145,status!$G$2:$H$5,2,FALSE)</f>
        <v>市街地</v>
      </c>
      <c r="I145" s="13" t="s">
        <v>325</v>
      </c>
      <c r="J145" s="13" t="s">
        <v>167</v>
      </c>
      <c r="K145" s="16" t="s">
        <v>487</v>
      </c>
    </row>
    <row r="146" spans="1:11" ht="13.2" thickBot="1">
      <c r="A146" s="13">
        <v>14</v>
      </c>
      <c r="B146" s="10" t="str">
        <f>VLOOKUP(A146,status!$A$2:$B$19,2,FALSE)</f>
        <v>毛並み</v>
      </c>
      <c r="C146" s="10">
        <v>1</v>
      </c>
      <c r="D146" s="10">
        <v>15</v>
      </c>
      <c r="E146" s="10" t="str">
        <f>VLOOKUP(D146,status!$A$2:$B$19,2,FALSE)</f>
        <v>愛嬌</v>
      </c>
      <c r="F146" s="10">
        <v>1</v>
      </c>
      <c r="G146" s="10">
        <v>3</v>
      </c>
      <c r="H146" s="10" t="str">
        <f>VLOOKUP(G146,status!$G$2:$H$5,2,FALSE)</f>
        <v>海辺</v>
      </c>
      <c r="I146" s="13" t="s">
        <v>290</v>
      </c>
      <c r="J146" s="13" t="s">
        <v>168</v>
      </c>
      <c r="K146" s="16" t="s">
        <v>488</v>
      </c>
    </row>
    <row r="147" spans="1:11" ht="13.2" thickBot="1">
      <c r="A147" s="13">
        <v>14</v>
      </c>
      <c r="B147" s="10" t="str">
        <f>VLOOKUP(A147,status!$A$2:$B$19,2,FALSE)</f>
        <v>毛並み</v>
      </c>
      <c r="C147" s="10">
        <v>1</v>
      </c>
      <c r="D147" s="10">
        <v>16</v>
      </c>
      <c r="E147" s="10" t="str">
        <f>VLOOKUP(D147,status!$A$2:$B$19,2,FALSE)</f>
        <v>スタイル</v>
      </c>
      <c r="F147" s="10">
        <v>1</v>
      </c>
      <c r="G147" s="10">
        <v>3</v>
      </c>
      <c r="H147" s="10" t="str">
        <f>VLOOKUP(G147,status!$G$2:$H$5,2,FALSE)</f>
        <v>海辺</v>
      </c>
      <c r="I147" s="13" t="s">
        <v>326</v>
      </c>
      <c r="J147" s="13" t="s">
        <v>169</v>
      </c>
      <c r="K147" s="16" t="s">
        <v>489</v>
      </c>
    </row>
    <row r="148" spans="1:11" ht="13.2" thickBot="1">
      <c r="A148" s="13">
        <v>14</v>
      </c>
      <c r="B148" s="10" t="str">
        <f>VLOOKUP(A148,status!$A$2:$B$19,2,FALSE)</f>
        <v>毛並み</v>
      </c>
      <c r="C148" s="10">
        <v>1</v>
      </c>
      <c r="D148" s="10">
        <v>17</v>
      </c>
      <c r="E148" s="10" t="str">
        <f>VLOOKUP(D148,status!$A$2:$B$19,2,FALSE)</f>
        <v>知性</v>
      </c>
      <c r="F148" s="10">
        <v>1</v>
      </c>
      <c r="G148" s="10">
        <v>1</v>
      </c>
      <c r="H148" s="10" t="str">
        <f>VLOOKUP(G148,status!$G$2:$H$5,2,FALSE)</f>
        <v>市街地</v>
      </c>
      <c r="I148" s="13" t="s">
        <v>327</v>
      </c>
      <c r="J148" s="13" t="s">
        <v>170</v>
      </c>
      <c r="K148" s="16" t="s">
        <v>514</v>
      </c>
    </row>
    <row r="149" spans="1:11" ht="13.2" thickBot="1">
      <c r="A149" s="13">
        <v>14</v>
      </c>
      <c r="B149" s="10" t="str">
        <f>VLOOKUP(A149,status!$A$2:$B$19,2,FALSE)</f>
        <v>毛並み</v>
      </c>
      <c r="C149" s="10">
        <v>1</v>
      </c>
      <c r="D149" s="10">
        <v>18</v>
      </c>
      <c r="E149" s="10" t="str">
        <f>VLOOKUP(D149,status!$A$2:$B$19,2,FALSE)</f>
        <v>幸運</v>
      </c>
      <c r="F149" s="10">
        <v>1</v>
      </c>
      <c r="G149" s="10">
        <v>1</v>
      </c>
      <c r="H149" s="10" t="str">
        <f>VLOOKUP(G149,status!$G$2:$H$5,2,FALSE)</f>
        <v>市街地</v>
      </c>
      <c r="I149" s="13" t="s">
        <v>291</v>
      </c>
      <c r="J149" s="13" t="s">
        <v>171</v>
      </c>
      <c r="K149" s="16" t="s">
        <v>515</v>
      </c>
    </row>
    <row r="150" spans="1:11" ht="13.2" thickBot="1">
      <c r="A150" s="13">
        <v>15</v>
      </c>
      <c r="B150" s="10" t="str">
        <f>VLOOKUP(A150,status!$A$2:$B$19,2,FALSE)</f>
        <v>愛嬌</v>
      </c>
      <c r="C150" s="10">
        <v>1</v>
      </c>
      <c r="D150" s="10">
        <v>16</v>
      </c>
      <c r="E150" s="10" t="str">
        <f>VLOOKUP(D150,status!$A$2:$B$19,2,FALSE)</f>
        <v>スタイル</v>
      </c>
      <c r="F150" s="10">
        <v>1</v>
      </c>
      <c r="G150" s="10">
        <v>3</v>
      </c>
      <c r="H150" s="10" t="str">
        <f>VLOOKUP(G150,status!$G$2:$H$5,2,FALSE)</f>
        <v>海辺</v>
      </c>
      <c r="I150" s="13" t="s">
        <v>292</v>
      </c>
      <c r="J150" s="13" t="s">
        <v>172</v>
      </c>
      <c r="K150" s="16" t="s">
        <v>490</v>
      </c>
    </row>
    <row r="151" spans="1:11" ht="13.2" thickBot="1">
      <c r="A151" s="13">
        <v>15</v>
      </c>
      <c r="B151" s="10" t="str">
        <f>VLOOKUP(A151,status!$A$2:$B$19,2,FALSE)</f>
        <v>愛嬌</v>
      </c>
      <c r="C151" s="10">
        <v>1</v>
      </c>
      <c r="D151" s="10">
        <v>17</v>
      </c>
      <c r="E151" s="10" t="str">
        <f>VLOOKUP(D151,status!$A$2:$B$19,2,FALSE)</f>
        <v>知性</v>
      </c>
      <c r="F151" s="10">
        <v>1</v>
      </c>
      <c r="G151" s="10">
        <v>1</v>
      </c>
      <c r="H151" s="10" t="str">
        <f>VLOOKUP(G151,status!$G$2:$H$5,2,FALSE)</f>
        <v>市街地</v>
      </c>
      <c r="I151" s="13" t="s">
        <v>328</v>
      </c>
      <c r="J151" s="13" t="s">
        <v>361</v>
      </c>
      <c r="K151" s="16" t="s">
        <v>491</v>
      </c>
    </row>
    <row r="152" spans="1:11" ht="13.2" thickBot="1">
      <c r="A152" s="13">
        <v>15</v>
      </c>
      <c r="B152" s="10" t="str">
        <f>VLOOKUP(A152,status!$A$2:$B$19,2,FALSE)</f>
        <v>愛嬌</v>
      </c>
      <c r="C152" s="10">
        <v>1</v>
      </c>
      <c r="D152" s="10">
        <v>18</v>
      </c>
      <c r="E152" s="10" t="str">
        <f>VLOOKUP(D152,status!$A$2:$B$19,2,FALSE)</f>
        <v>幸運</v>
      </c>
      <c r="F152" s="10">
        <v>1</v>
      </c>
      <c r="G152" s="10">
        <v>4</v>
      </c>
      <c r="H152" s="10" t="str">
        <f>VLOOKUP(G152,status!$G$2:$H$5,2,FALSE)</f>
        <v>山道</v>
      </c>
      <c r="I152" s="13" t="s">
        <v>293</v>
      </c>
      <c r="J152" s="13" t="s">
        <v>173</v>
      </c>
      <c r="K152" s="16" t="s">
        <v>492</v>
      </c>
    </row>
    <row r="153" spans="1:11" ht="13.2" thickBot="1">
      <c r="A153" s="13">
        <v>16</v>
      </c>
      <c r="B153" s="10" t="str">
        <f>VLOOKUP(A153,status!$A$2:$B$19,2,FALSE)</f>
        <v>スタイル</v>
      </c>
      <c r="C153" s="10">
        <v>1</v>
      </c>
      <c r="D153" s="10">
        <v>17</v>
      </c>
      <c r="E153" s="10" t="str">
        <f>VLOOKUP(D153,status!$A$2:$B$19,2,FALSE)</f>
        <v>知性</v>
      </c>
      <c r="F153" s="10">
        <v>1</v>
      </c>
      <c r="G153" s="10">
        <v>4</v>
      </c>
      <c r="H153" s="10" t="str">
        <f>VLOOKUP(G153,status!$G$2:$H$5,2,FALSE)</f>
        <v>山道</v>
      </c>
      <c r="I153" s="13" t="s">
        <v>294</v>
      </c>
      <c r="J153" s="13" t="s">
        <v>334</v>
      </c>
      <c r="K153" s="16" t="s">
        <v>493</v>
      </c>
    </row>
    <row r="154" spans="1:11" ht="13.2" thickBot="1">
      <c r="A154" s="13">
        <v>16</v>
      </c>
      <c r="B154" s="10" t="str">
        <f>VLOOKUP(A154,status!$A$2:$B$19,2,FALSE)</f>
        <v>スタイル</v>
      </c>
      <c r="C154" s="10">
        <v>1</v>
      </c>
      <c r="D154" s="10">
        <v>18</v>
      </c>
      <c r="E154" s="10" t="str">
        <f>VLOOKUP(D154,status!$A$2:$B$19,2,FALSE)</f>
        <v>幸運</v>
      </c>
      <c r="F154" s="10">
        <v>1</v>
      </c>
      <c r="G154" s="10">
        <v>1</v>
      </c>
      <c r="H154" s="10" t="str">
        <f>VLOOKUP(G154,status!$G$2:$H$5,2,FALSE)</f>
        <v>市街地</v>
      </c>
      <c r="I154" s="13" t="s">
        <v>295</v>
      </c>
      <c r="J154" s="13" t="s">
        <v>174</v>
      </c>
      <c r="K154" s="16" t="s">
        <v>494</v>
      </c>
    </row>
    <row r="155" spans="1:11" ht="13.2" thickBot="1">
      <c r="A155" s="13">
        <v>17</v>
      </c>
      <c r="B155" s="10" t="str">
        <f>VLOOKUP(A155,status!$A$2:$B$19,2,FALSE)</f>
        <v>知性</v>
      </c>
      <c r="C155" s="10">
        <v>1</v>
      </c>
      <c r="D155" s="10">
        <v>18</v>
      </c>
      <c r="E155" s="10" t="str">
        <f>VLOOKUP(D155,status!$A$2:$B$19,2,FALSE)</f>
        <v>幸運</v>
      </c>
      <c r="F155" s="10">
        <v>1</v>
      </c>
      <c r="G155" s="10">
        <v>3</v>
      </c>
      <c r="H155" s="10" t="str">
        <f>VLOOKUP(G155,status!$G$2:$H$5,2,FALSE)</f>
        <v>海辺</v>
      </c>
      <c r="I155" s="13" t="s">
        <v>296</v>
      </c>
      <c r="J155" s="13" t="s">
        <v>175</v>
      </c>
      <c r="K155" s="16" t="s">
        <v>495</v>
      </c>
    </row>
  </sheetData>
  <autoFilter ref="A1:K155" xr:uid="{A63392D8-DCEE-4DEE-997C-57984CF63004}"/>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workbookViewId="0">
      <selection activeCell="H6" sqref="H6"/>
    </sheetView>
  </sheetViews>
  <sheetFormatPr defaultRowHeight="18"/>
  <cols>
    <col min="1" max="1" width="4.09765625" style="9" bestFit="1" customWidth="1"/>
    <col min="2" max="2" width="12" customWidth="1"/>
    <col min="3" max="3" width="6.796875" bestFit="1" customWidth="1"/>
    <col min="4" max="4" width="90.69921875" customWidth="1"/>
  </cols>
  <sheetData>
    <row r="1" spans="1:8" ht="18.600000000000001" thickBot="1">
      <c r="A1" s="8" t="s">
        <v>36</v>
      </c>
      <c r="B1" s="1" t="s">
        <v>0</v>
      </c>
      <c r="C1" s="1" t="s">
        <v>38</v>
      </c>
      <c r="D1" s="8" t="s">
        <v>37</v>
      </c>
      <c r="G1" t="s">
        <v>46</v>
      </c>
    </row>
    <row r="2" spans="1:8" ht="18.600000000000001" thickBot="1">
      <c r="A2" s="1">
        <v>1</v>
      </c>
      <c r="B2" s="2" t="s">
        <v>1</v>
      </c>
      <c r="C2" s="2">
        <v>100</v>
      </c>
      <c r="D2" s="4" t="s">
        <v>28</v>
      </c>
      <c r="G2">
        <v>1</v>
      </c>
      <c r="H2" t="s">
        <v>47</v>
      </c>
    </row>
    <row r="3" spans="1:8" ht="18.600000000000001" thickBot="1">
      <c r="A3" s="1">
        <v>2</v>
      </c>
      <c r="B3" s="2" t="s">
        <v>2</v>
      </c>
      <c r="C3" s="2">
        <v>100</v>
      </c>
      <c r="D3" s="5" t="s">
        <v>39</v>
      </c>
      <c r="G3">
        <v>2</v>
      </c>
      <c r="H3" t="s">
        <v>48</v>
      </c>
    </row>
    <row r="4" spans="1:8" ht="18.600000000000001" thickBot="1">
      <c r="A4" s="1">
        <v>3</v>
      </c>
      <c r="B4" s="2" t="s">
        <v>3</v>
      </c>
      <c r="C4" s="2">
        <v>100</v>
      </c>
      <c r="D4" s="4" t="s">
        <v>29</v>
      </c>
      <c r="G4">
        <v>3</v>
      </c>
      <c r="H4" t="s">
        <v>49</v>
      </c>
    </row>
    <row r="5" spans="1:8" ht="18.600000000000001" thickBot="1">
      <c r="A5" s="1">
        <v>4</v>
      </c>
      <c r="B5" s="2" t="s">
        <v>4</v>
      </c>
      <c r="C5" s="2">
        <v>100</v>
      </c>
      <c r="D5" s="5" t="s">
        <v>30</v>
      </c>
      <c r="G5">
        <v>4</v>
      </c>
      <c r="H5" t="s">
        <v>50</v>
      </c>
    </row>
    <row r="6" spans="1:8" ht="18.600000000000001" thickBot="1">
      <c r="A6" s="1">
        <v>5</v>
      </c>
      <c r="B6" s="2" t="s">
        <v>5</v>
      </c>
      <c r="C6" s="2">
        <v>100</v>
      </c>
      <c r="D6" s="5" t="s">
        <v>31</v>
      </c>
    </row>
    <row r="7" spans="1:8" ht="18.600000000000001" thickBot="1">
      <c r="A7" s="1">
        <v>6</v>
      </c>
      <c r="B7" s="2" t="s">
        <v>6</v>
      </c>
      <c r="C7" s="2">
        <v>100</v>
      </c>
      <c r="D7" s="3" t="s">
        <v>7</v>
      </c>
    </row>
    <row r="8" spans="1:8" ht="18.600000000000001" thickBot="1">
      <c r="A8" s="1">
        <v>7</v>
      </c>
      <c r="B8" s="2" t="s">
        <v>8</v>
      </c>
      <c r="C8" s="2">
        <v>100</v>
      </c>
      <c r="D8" s="3" t="s">
        <v>9</v>
      </c>
    </row>
    <row r="9" spans="1:8" ht="18.600000000000001" thickBot="1">
      <c r="A9" s="1">
        <v>8</v>
      </c>
      <c r="B9" s="2" t="s">
        <v>10</v>
      </c>
      <c r="C9" s="2">
        <v>100</v>
      </c>
      <c r="D9" s="4" t="s">
        <v>32</v>
      </c>
    </row>
    <row r="10" spans="1:8" ht="18.600000000000001" thickBot="1">
      <c r="A10" s="1">
        <v>9</v>
      </c>
      <c r="B10" s="2" t="s">
        <v>11</v>
      </c>
      <c r="C10" s="2">
        <v>1000</v>
      </c>
      <c r="D10" s="3" t="s">
        <v>12</v>
      </c>
    </row>
    <row r="11" spans="1:8" ht="18.600000000000001" thickBot="1">
      <c r="A11" s="1">
        <v>10</v>
      </c>
      <c r="B11" s="2" t="s">
        <v>13</v>
      </c>
      <c r="C11" s="2">
        <v>1000</v>
      </c>
      <c r="D11" s="3" t="s">
        <v>14</v>
      </c>
    </row>
    <row r="12" spans="1:8" ht="18.600000000000001" thickBot="1">
      <c r="A12" s="1">
        <v>11</v>
      </c>
      <c r="B12" s="2" t="s">
        <v>15</v>
      </c>
      <c r="C12" s="2">
        <v>1000</v>
      </c>
      <c r="D12" s="5" t="s">
        <v>27</v>
      </c>
    </row>
    <row r="13" spans="1:8" ht="18.600000000000001" thickBot="1">
      <c r="A13" s="1">
        <v>12</v>
      </c>
      <c r="B13" s="2" t="s">
        <v>16</v>
      </c>
      <c r="C13" s="2">
        <v>1000</v>
      </c>
      <c r="D13" s="3" t="s">
        <v>17</v>
      </c>
    </row>
    <row r="14" spans="1:8" ht="18.600000000000001" thickBot="1">
      <c r="A14" s="1">
        <v>13</v>
      </c>
      <c r="B14" s="2" t="s">
        <v>18</v>
      </c>
      <c r="C14" s="2">
        <v>1000</v>
      </c>
      <c r="D14" s="3" t="s">
        <v>19</v>
      </c>
    </row>
    <row r="15" spans="1:8" ht="18.600000000000001" thickBot="1">
      <c r="A15" s="1">
        <v>14</v>
      </c>
      <c r="B15" s="2" t="s">
        <v>20</v>
      </c>
      <c r="C15" s="2">
        <v>100</v>
      </c>
      <c r="D15" s="3" t="s">
        <v>21</v>
      </c>
    </row>
    <row r="16" spans="1:8" ht="18.600000000000001" thickBot="1">
      <c r="A16" s="1">
        <v>15</v>
      </c>
      <c r="B16" s="2" t="s">
        <v>22</v>
      </c>
      <c r="C16" s="2">
        <v>100</v>
      </c>
      <c r="D16" s="3" t="s">
        <v>23</v>
      </c>
    </row>
    <row r="17" spans="1:4" ht="18.600000000000001" thickBot="1">
      <c r="A17" s="1">
        <v>16</v>
      </c>
      <c r="B17" s="2" t="s">
        <v>24</v>
      </c>
      <c r="C17" s="2">
        <v>100</v>
      </c>
      <c r="D17" s="3" t="s">
        <v>25</v>
      </c>
    </row>
    <row r="18" spans="1:4" ht="18.600000000000001" thickBot="1">
      <c r="A18" s="1">
        <v>17</v>
      </c>
      <c r="B18" s="6" t="s">
        <v>33</v>
      </c>
      <c r="C18" s="2">
        <v>100</v>
      </c>
      <c r="D18" s="7" t="s">
        <v>35</v>
      </c>
    </row>
    <row r="19" spans="1:4" ht="18.600000000000001" thickBot="1">
      <c r="A19" s="1">
        <v>18</v>
      </c>
      <c r="B19" s="2" t="s">
        <v>26</v>
      </c>
      <c r="C19" s="2">
        <v>100</v>
      </c>
      <c r="D19" s="7" t="s">
        <v>34</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events</vt:lpstr>
      <vt:lpstr>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Kentaro Hashimoto</dc:creator>
  <cp:lastModifiedBy>Kentaro Hashimoto</cp:lastModifiedBy>
  <dcterms:created xsi:type="dcterms:W3CDTF">2015-06-05T18:19:34Z</dcterms:created>
  <dcterms:modified xsi:type="dcterms:W3CDTF">2026-04-05T12:22:40Z</dcterms:modified>
</cp:coreProperties>
</file>